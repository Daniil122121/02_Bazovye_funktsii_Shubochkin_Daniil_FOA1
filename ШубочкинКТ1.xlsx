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Даниил\Desktop\"/>
    </mc:Choice>
  </mc:AlternateContent>
  <xr:revisionPtr revIDLastSave="0" documentId="8_{FF997FF5-38F1-4C8D-A9E5-6097E0F43A45}" xr6:coauthVersionLast="47" xr6:coauthVersionMax="47" xr10:uidLastSave="{00000000-0000-0000-0000-000000000000}"/>
  <bookViews>
    <workbookView xWindow="-108" yWindow="-108" windowWidth="23256" windowHeight="13896" firstSheet="27" activeTab="29" xr2:uid="{00000000-000D-0000-FFFF-FFFF00000000}"/>
  </bookViews>
  <sheets>
    <sheet name="ДАТА" sheetId="1" r:id="rId1"/>
    <sheet name="ДЕНЬ МЕСЯЦ ГОД" sheetId="2" r:id="rId2"/>
    <sheet name="СЕГОДНЯ" sheetId="3" r:id="rId3"/>
    <sheet name="ДАТАМЕС" sheetId="4" r:id="rId4"/>
    <sheet name="ОКРУГЛы" sheetId="5" r:id="rId5"/>
    <sheet name="СУММ" sheetId="6" r:id="rId6"/>
    <sheet name="СРЗНАЧ" sheetId="7" r:id="rId7"/>
    <sheet name="ЕСЛИ" sheetId="8" r:id="rId8"/>
    <sheet name="И ИЛИ" sheetId="9" r:id="rId9"/>
    <sheet name="СЧЁТЕСЛИ" sheetId="10" r:id="rId10"/>
    <sheet name="СУММЕСЛИ" sheetId="11" r:id="rId11"/>
    <sheet name="СРЗНАЧЕСЛИ" sheetId="12" r:id="rId12"/>
    <sheet name="МИН МАКС" sheetId="13" r:id="rId13"/>
    <sheet name="СЖПРОБЕЛЫ" sheetId="14" r:id="rId14"/>
    <sheet name="ПОИСК НАЙТИ" sheetId="15" r:id="rId15"/>
    <sheet name="ПОДСТАВИТЬ" sheetId="16" r:id="rId16"/>
    <sheet name="ЗАМЕНИТЬ" sheetId="17" r:id="rId17"/>
    <sheet name="ЛЕВСИМВ ПРАВСИМВ" sheetId="18" r:id="rId18"/>
    <sheet name="ДЛСТР" sheetId="19" r:id="rId19"/>
    <sheet name="СЦЕПИТЬ" sheetId="20" r:id="rId20"/>
    <sheet name="СТРОЧН ПРОПНАЧ ПРОПИСН" sheetId="21" r:id="rId21"/>
    <sheet name="СЧЁТ СЧЁТЗ" sheetId="22" r:id="rId22"/>
    <sheet name="СЧИТАТЬПУСТОТЫ" sheetId="23" r:id="rId23"/>
    <sheet name="ЕПУСТО ЕТЕКСТ ЕЧИСЛО" sheetId="24" r:id="rId24"/>
    <sheet name="НАИБОЛЬШИЙ НАИМЕНЬШИЙ" sheetId="25" r:id="rId25"/>
    <sheet name="ВПР" sheetId="26" r:id="rId26"/>
    <sheet name="ЕСЛИОШИБКА" sheetId="27" r:id="rId27"/>
    <sheet name="ИНДЕКС" sheetId="28" r:id="rId28"/>
    <sheet name="ПОИСКПОЗ" sheetId="29" r:id="rId29"/>
    <sheet name="РАНГ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12" i="9" l="1"/>
  <c r="C11" i="9"/>
  <c r="C8" i="9"/>
  <c r="C6" i="9"/>
  <c r="F5" i="9"/>
  <c r="F7" i="9"/>
  <c r="F6" i="9"/>
  <c r="E15" i="30"/>
  <c r="E14" i="30"/>
  <c r="E13" i="30"/>
  <c r="E12" i="30"/>
  <c r="E11" i="30"/>
  <c r="E10" i="30"/>
  <c r="E9" i="30"/>
  <c r="E8" i="30"/>
  <c r="E7" i="30"/>
  <c r="E6" i="30"/>
  <c r="E5" i="30"/>
  <c r="F5" i="29"/>
  <c r="E15" i="28"/>
  <c r="E14" i="28"/>
  <c r="E13" i="28"/>
  <c r="E12" i="28"/>
  <c r="E11" i="28"/>
  <c r="E10" i="28"/>
  <c r="E9" i="28"/>
  <c r="E8" i="28"/>
  <c r="E7" i="28"/>
  <c r="G6" i="28" a="1"/>
  <c r="G6" i="28"/>
  <c r="E6" i="28"/>
  <c r="E5" i="28"/>
  <c r="D15" i="27"/>
  <c r="D14" i="27"/>
  <c r="D13" i="27"/>
  <c r="D12" i="27"/>
  <c r="D11" i="27"/>
  <c r="D10" i="27"/>
  <c r="D9" i="27"/>
  <c r="D8" i="27"/>
  <c r="D7" i="27"/>
  <c r="D6" i="27"/>
  <c r="D5" i="27"/>
  <c r="H5" i="26"/>
  <c r="F15" i="25"/>
  <c r="F14" i="25"/>
  <c r="F13" i="25"/>
  <c r="F8" i="25"/>
  <c r="F7" i="25"/>
  <c r="F6" i="25"/>
  <c r="B14" i="24"/>
  <c r="E14" i="24" s="1"/>
  <c r="E12" i="24"/>
  <c r="D12" i="24"/>
  <c r="C12" i="24"/>
  <c r="E11" i="24"/>
  <c r="D11" i="24"/>
  <c r="C11" i="24"/>
  <c r="E10" i="24"/>
  <c r="D10" i="24"/>
  <c r="C10" i="24"/>
  <c r="E9" i="24"/>
  <c r="D9" i="24"/>
  <c r="C9" i="24"/>
  <c r="B8" i="24"/>
  <c r="B13" i="24" s="1"/>
  <c r="E7" i="24"/>
  <c r="D7" i="24"/>
  <c r="C7" i="24"/>
  <c r="E6" i="24"/>
  <c r="D6" i="24"/>
  <c r="C6" i="24"/>
  <c r="E5" i="24"/>
  <c r="D5" i="24"/>
  <c r="C5" i="24"/>
  <c r="B15" i="23"/>
  <c r="B13" i="23"/>
  <c r="D6" i="23"/>
  <c r="B14" i="22"/>
  <c r="D14" i="22" s="1"/>
  <c r="D13" i="22"/>
  <c r="C13" i="22"/>
  <c r="D12" i="22"/>
  <c r="C12" i="22"/>
  <c r="D11" i="22"/>
  <c r="C11" i="22"/>
  <c r="D10" i="22"/>
  <c r="C10" i="22"/>
  <c r="D9" i="22"/>
  <c r="C9" i="22"/>
  <c r="D8" i="22"/>
  <c r="C8" i="22"/>
  <c r="D7" i="22"/>
  <c r="C7" i="22"/>
  <c r="D6" i="22"/>
  <c r="C6" i="22"/>
  <c r="D5" i="22"/>
  <c r="E13" i="21"/>
  <c r="D13" i="21"/>
  <c r="C13" i="21"/>
  <c r="E12" i="21"/>
  <c r="D12" i="21"/>
  <c r="C12" i="21"/>
  <c r="E11" i="21"/>
  <c r="D11" i="21"/>
  <c r="C11" i="21"/>
  <c r="E10" i="21"/>
  <c r="D10" i="21"/>
  <c r="C10" i="21"/>
  <c r="E9" i="21"/>
  <c r="D9" i="21"/>
  <c r="C9" i="21"/>
  <c r="E8" i="21"/>
  <c r="D8" i="21"/>
  <c r="C8" i="21"/>
  <c r="E7" i="21"/>
  <c r="D7" i="21"/>
  <c r="C7" i="21"/>
  <c r="E6" i="21"/>
  <c r="D6" i="21"/>
  <c r="C6" i="21"/>
  <c r="E5" i="21"/>
  <c r="D5" i="21"/>
  <c r="C5" i="21"/>
  <c r="E15" i="20"/>
  <c r="E11" i="20"/>
  <c r="E8" i="20"/>
  <c r="E7" i="20"/>
  <c r="E6" i="20"/>
  <c r="E5" i="20"/>
  <c r="C15" i="19"/>
  <c r="C14" i="19"/>
  <c r="C13" i="19"/>
  <c r="C12" i="19"/>
  <c r="C11" i="19"/>
  <c r="C10" i="19"/>
  <c r="C9" i="19"/>
  <c r="C8" i="19"/>
  <c r="C7" i="19"/>
  <c r="C6" i="19"/>
  <c r="C5" i="19"/>
  <c r="C15" i="18"/>
  <c r="C14" i="18"/>
  <c r="C12" i="18"/>
  <c r="C11" i="18"/>
  <c r="C9" i="18"/>
  <c r="C8" i="18"/>
  <c r="C6" i="18"/>
  <c r="C5" i="18"/>
  <c r="C16" i="17"/>
  <c r="C15" i="17"/>
  <c r="C14" i="17"/>
  <c r="C13" i="17"/>
  <c r="C12" i="17"/>
  <c r="C11" i="17"/>
  <c r="C10" i="17"/>
  <c r="C9" i="17"/>
  <c r="C8" i="17"/>
  <c r="C7" i="17"/>
  <c r="C6" i="17"/>
  <c r="C5" i="17"/>
  <c r="C8" i="16"/>
  <c r="C7" i="16"/>
  <c r="C6" i="16"/>
  <c r="C5" i="16"/>
  <c r="E15" i="15"/>
  <c r="D15" i="15"/>
  <c r="E14" i="15"/>
  <c r="D14" i="15"/>
  <c r="E13" i="15"/>
  <c r="D13" i="15"/>
  <c r="E12" i="15"/>
  <c r="D12" i="15"/>
  <c r="E11" i="15"/>
  <c r="D11" i="15"/>
  <c r="E10" i="15"/>
  <c r="D10" i="15"/>
  <c r="E9" i="15"/>
  <c r="D9" i="15"/>
  <c r="E8" i="15"/>
  <c r="D8" i="15"/>
  <c r="E7" i="15"/>
  <c r="D7" i="15"/>
  <c r="E6" i="15"/>
  <c r="D6" i="15"/>
  <c r="E5" i="15"/>
  <c r="D5" i="15"/>
  <c r="C11" i="14"/>
  <c r="C10" i="14"/>
  <c r="C9" i="14"/>
  <c r="C8" i="14"/>
  <c r="C7" i="14"/>
  <c r="C6" i="14"/>
  <c r="C5" i="14"/>
  <c r="E10" i="13"/>
  <c r="E6" i="13"/>
  <c r="H7" i="12"/>
  <c r="H6" i="12"/>
  <c r="H5" i="12"/>
  <c r="H5" i="11"/>
  <c r="H7" i="10"/>
  <c r="H6" i="10"/>
  <c r="H5" i="10"/>
  <c r="F14" i="9"/>
  <c r="C14" i="9"/>
  <c r="F13" i="9"/>
  <c r="C13" i="9"/>
  <c r="F12" i="9"/>
  <c r="F11" i="9"/>
  <c r="F10" i="9"/>
  <c r="C10" i="9"/>
  <c r="F9" i="9"/>
  <c r="C9" i="9"/>
  <c r="F8" i="9"/>
  <c r="C7" i="9"/>
  <c r="C5" i="9"/>
  <c r="D15" i="8"/>
  <c r="D14" i="8"/>
  <c r="D13" i="8"/>
  <c r="D12" i="8"/>
  <c r="D11" i="8"/>
  <c r="D10" i="8"/>
  <c r="D9" i="8"/>
  <c r="D8" i="8"/>
  <c r="D7" i="8"/>
  <c r="D6" i="8"/>
  <c r="D5" i="8"/>
  <c r="G13" i="7"/>
  <c r="G12" i="7"/>
  <c r="G11" i="7"/>
  <c r="G10" i="7"/>
  <c r="G9" i="7"/>
  <c r="G8" i="7"/>
  <c r="G7" i="7"/>
  <c r="D14" i="7" s="1"/>
  <c r="G14" i="7" s="1"/>
  <c r="G6" i="7"/>
  <c r="G5" i="7"/>
  <c r="E13" i="6"/>
  <c r="H13" i="6" s="1"/>
  <c r="H12" i="6"/>
  <c r="F12" i="6"/>
  <c r="H11" i="6"/>
  <c r="H10" i="6"/>
  <c r="H9" i="6"/>
  <c r="H8" i="6"/>
  <c r="H7" i="6"/>
  <c r="H6" i="6"/>
  <c r="H5" i="6"/>
  <c r="G14" i="5"/>
  <c r="F14" i="5"/>
  <c r="E14" i="5"/>
  <c r="D14" i="5"/>
  <c r="G13" i="5"/>
  <c r="F13" i="5"/>
  <c r="E13" i="5"/>
  <c r="D13" i="5"/>
  <c r="G12" i="5"/>
  <c r="F12" i="5"/>
  <c r="E12" i="5"/>
  <c r="D12" i="5"/>
  <c r="G11" i="5"/>
  <c r="F11" i="5"/>
  <c r="E11" i="5"/>
  <c r="D11" i="5"/>
  <c r="G10" i="5"/>
  <c r="F10" i="5"/>
  <c r="E10" i="5"/>
  <c r="D10" i="5"/>
  <c r="G9" i="5"/>
  <c r="F9" i="5"/>
  <c r="E9" i="5"/>
  <c r="D9" i="5"/>
  <c r="G8" i="5"/>
  <c r="F8" i="5"/>
  <c r="E8" i="5"/>
  <c r="D8" i="5"/>
  <c r="G7" i="5"/>
  <c r="F7" i="5"/>
  <c r="E7" i="5"/>
  <c r="D7" i="5"/>
  <c r="G6" i="5"/>
  <c r="F6" i="5"/>
  <c r="E6" i="5"/>
  <c r="D6" i="5"/>
  <c r="G5" i="5"/>
  <c r="F5" i="5"/>
  <c r="E5" i="5"/>
  <c r="D5" i="5"/>
  <c r="E16" i="4"/>
  <c r="E15" i="4"/>
  <c r="E14" i="4"/>
  <c r="E13" i="4"/>
  <c r="E12" i="4"/>
  <c r="E11" i="4"/>
  <c r="E10" i="4"/>
  <c r="E9" i="4"/>
  <c r="E8" i="4"/>
  <c r="E7" i="4"/>
  <c r="E6" i="4"/>
  <c r="E5" i="4"/>
  <c r="B21" i="3"/>
  <c r="B15" i="3"/>
  <c r="B14" i="3"/>
  <c r="B13" i="3"/>
  <c r="B12" i="3"/>
  <c r="B11" i="3"/>
  <c r="B10" i="3"/>
  <c r="B9" i="3"/>
  <c r="B8" i="3"/>
  <c r="B7" i="3"/>
  <c r="B6" i="3"/>
  <c r="B5" i="3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I15" i="1"/>
  <c r="I14" i="1"/>
  <c r="I13" i="1"/>
  <c r="I12" i="1"/>
  <c r="I11" i="1"/>
  <c r="I10" i="1"/>
  <c r="I9" i="1"/>
  <c r="I8" i="1"/>
  <c r="I7" i="1"/>
  <c r="I6" i="1"/>
  <c r="I5" i="1"/>
  <c r="D13" i="24" l="1"/>
  <c r="E13" i="24"/>
  <c r="C13" i="24"/>
  <c r="C14" i="22"/>
  <c r="B15" i="22"/>
  <c r="G5" i="22" s="1"/>
  <c r="C14" i="24"/>
  <c r="D14" i="24"/>
  <c r="C8" i="24"/>
  <c r="D8" i="24"/>
  <c r="E8" i="24"/>
  <c r="D15" i="22" l="1"/>
  <c r="C15" i="22"/>
  <c r="G8" i="22"/>
</calcChain>
</file>

<file path=xl/sharedStrings.xml><?xml version="1.0" encoding="utf-8"?>
<sst xmlns="http://schemas.openxmlformats.org/spreadsheetml/2006/main" count="573" uniqueCount="406">
  <si>
    <t>tolstyakoff.ru</t>
  </si>
  <si>
    <t>ДАТА</t>
  </si>
  <si>
    <t>Год</t>
  </si>
  <si>
    <t>Месяц</t>
  </si>
  <si>
    <t>День</t>
  </si>
  <si>
    <t>Результат</t>
  </si>
  <si>
    <t>ДЕНЬ</t>
  </si>
  <si>
    <t>МЕСЯЦ</t>
  </si>
  <si>
    <t>ГОД</t>
  </si>
  <si>
    <t>Дата</t>
  </si>
  <si>
    <t>СЕГОДНЯ</t>
  </si>
  <si>
    <t>Формула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</si>
  <si>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</si>
  <si>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</si>
  <si>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</si>
  <si>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</si>
  <si>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</si>
  <si>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</si>
  <si>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</si>
  <si>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</si>
  <si>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</si>
  <si>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</si>
  <si>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</si>
  <si>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</si>
  <si>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</si>
  <si>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</si>
  <si>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</si>
  <si>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</si>
  <si>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</si>
  <si>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</si>
  <si>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</si>
  <si>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</si>
  <si>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</si>
  <si>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</si>
  <si>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ТДАТА</t>
  </si>
  <si>
    <t>Дата Время</t>
  </si>
  <si>
    <t>=ТДАТА()</t>
  </si>
  <si>
    <t>//Аналогично, но + время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</si>
  <si>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</si>
  <si>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</si>
  <si>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</si>
  <si>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</si>
  <si>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</si>
  <si>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</si>
  <si>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</si>
  <si>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</si>
  <si>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</si>
  <si>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</si>
  <si>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</si>
  <si>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</si>
  <si>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</si>
  <si>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</si>
  <si>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</si>
  <si>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</si>
  <si>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</si>
  <si>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</si>
  <si>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</si>
  <si>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</si>
  <si>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</si>
  <si>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</si>
  <si>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</si>
  <si>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</si>
  <si>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</si>
  <si>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</si>
  <si>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</si>
  <si>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</si>
  <si>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</si>
  <si>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</si>
  <si>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</si>
  <si>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</si>
  <si>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</si>
  <si>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</si>
  <si>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</si>
  <si>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</si>
  <si>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</si>
  <si>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</si>
  <si>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</si>
  <si>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</si>
  <si>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</si>
  <si>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</si>
  <si>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</si>
  <si>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</si>
  <si>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</si>
  <si>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</si>
  <si>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</si>
  <si>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</si>
  <si>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</si>
  <si>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</si>
  <si>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</si>
  <si>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</si>
  <si>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</si>
  <si>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</si>
  <si>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</si>
  <si>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</si>
  <si>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</si>
  <si>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</si>
  <si>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</si>
  <si>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</si>
  <si>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</si>
  <si>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</si>
  <si>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</si>
  <si>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</si>
  <si>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</si>
  <si>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</si>
  <si>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</si>
  <si>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</si>
  <si>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</si>
  <si>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И</t>
  </si>
  <si>
    <t>ИЛИ</t>
  </si>
  <si>
    <t>Кол-во</t>
  </si>
  <si>
    <t>Цвет</t>
  </si>
  <si>
    <t>Красный</t>
  </si>
  <si>
    <t>Синий</t>
  </si>
  <si>
    <t>Желтый</t>
  </si>
  <si>
    <t>Зеленый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</si>
  <si>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</si>
  <si>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</si>
  <si>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</si>
  <si>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</si>
  <si>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</si>
  <si>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</si>
  <si>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</si>
  <si>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</si>
  <si>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</si>
  <si>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</si>
  <si>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</si>
  <si>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</si>
  <si>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</si>
  <si>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</si>
  <si>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</si>
  <si>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</si>
  <si>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</si>
  <si>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</si>
  <si>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</si>
  <si>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</si>
  <si>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</si>
  <si>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</si>
  <si>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</si>
  <si>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</si>
  <si>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</si>
  <si>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</si>
  <si>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</si>
  <si>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</si>
  <si>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</si>
  <si>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</si>
  <si>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</si>
  <si>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</si>
  <si>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</si>
  <si>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</si>
  <si>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</si>
  <si>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</si>
  <si>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</si>
  <si>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</si>
  <si>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</si>
  <si>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</si>
  <si>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</si>
  <si>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</si>
  <si>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</si>
  <si>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</si>
  <si>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</si>
  <si>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</si>
  <si>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</si>
  <si>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</si>
  <si>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</si>
  <si>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</si>
  <si>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</si>
  <si>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</si>
  <si>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</si>
  <si>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</si>
  <si>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</si>
  <si>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</si>
  <si>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</si>
  <si>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</si>
  <si>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</si>
  <si>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</si>
  <si>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</si>
  <si>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</si>
  <si>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</si>
  <si>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</si>
  <si>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</si>
  <si>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</si>
  <si>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</si>
  <si>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СЖПРОБЕЛЫ</t>
  </si>
  <si>
    <t>Текст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</si>
  <si>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</si>
  <si>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</si>
  <si>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</si>
  <si>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</si>
  <si>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</si>
  <si>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</si>
  <si>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</si>
  <si>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ПОИСК          НАЙТИ</t>
  </si>
  <si>
    <t>Искать</t>
  </si>
  <si>
    <t>Результат ПОИСК</t>
  </si>
  <si>
    <t>Результат НАЙТИ</t>
  </si>
  <si>
    <t>С</t>
  </si>
  <si>
    <r>
      <rPr>
        <b/>
        <sz val="11"/>
        <color theme="1"/>
        <rFont val="Calibri"/>
        <family val="2"/>
        <charset val="204"/>
      </rPr>
      <t>С</t>
    </r>
    <r>
      <rPr>
        <sz val="11"/>
        <color theme="1"/>
        <rFont val="Calibri"/>
        <family val="2"/>
        <charset val="204"/>
      </rPr>
      <t>уббота</t>
    </r>
  </si>
  <si>
    <t>// результат - номер символа</t>
  </si>
  <si>
    <t>б</t>
  </si>
  <si>
    <r>
      <rPr>
        <sz val="11"/>
        <color theme="1"/>
        <rFont val="Calibri"/>
        <family val="2"/>
        <charset val="204"/>
      </rPr>
      <t>Су</t>
    </r>
    <r>
      <rPr>
        <b/>
        <sz val="11"/>
        <color theme="1"/>
        <rFont val="Calibri"/>
        <family val="2"/>
        <charset val="204"/>
      </rPr>
      <t>б</t>
    </r>
    <r>
      <rPr>
        <sz val="11"/>
        <color theme="1"/>
        <rFont val="Calibri"/>
        <family val="2"/>
        <charset val="204"/>
      </rPr>
      <t>бота</t>
    </r>
  </si>
  <si>
    <t>// выдает 1ое вхождение</t>
  </si>
  <si>
    <t>та</t>
  </si>
  <si>
    <r>
      <rPr>
        <sz val="11"/>
        <color theme="1"/>
        <rFont val="Calibri"/>
        <family val="2"/>
        <charset val="204"/>
      </rPr>
      <t>Суббо</t>
    </r>
    <r>
      <rPr>
        <b/>
        <sz val="11"/>
        <color theme="1"/>
        <rFont val="Calibri"/>
        <family val="2"/>
        <charset val="204"/>
      </rPr>
      <t>та</t>
    </r>
  </si>
  <si>
    <t>// по нескольким символам</t>
  </si>
  <si>
    <t>т</t>
  </si>
  <si>
    <r>
      <rPr>
        <b/>
        <sz val="11"/>
        <color theme="1"/>
        <rFont val="Calibri"/>
        <family val="2"/>
        <charset val="204"/>
      </rPr>
      <t>Т</t>
    </r>
    <r>
      <rPr>
        <sz val="11"/>
        <color theme="1"/>
        <rFont val="Calibri"/>
        <family val="2"/>
        <charset val="204"/>
      </rPr>
      <t xml:space="preserve">ерпенье и </t>
    </r>
    <r>
      <rPr>
        <b/>
        <sz val="11"/>
        <color theme="1"/>
        <rFont val="Calibri"/>
        <family val="2"/>
        <charset val="204"/>
      </rPr>
      <t>т</t>
    </r>
    <r>
      <rPr>
        <sz val="11"/>
        <color theme="1"/>
        <rFont val="Calibri"/>
        <family val="2"/>
        <charset val="204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</si>
  <si>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</si>
  <si>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</si>
  <si>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charset val="204"/>
      </rPr>
      <t>Т</t>
    </r>
    <r>
      <rPr>
        <sz val="11"/>
        <color theme="1"/>
        <rFont val="Calibri"/>
        <family val="2"/>
        <charset val="204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</si>
  <si>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</si>
  <si>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</si>
  <si>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</si>
  <si>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family val="2"/>
        <charset val="204"/>
      </rPr>
      <t>Тер</t>
    </r>
    <r>
      <rPr>
        <sz val="11"/>
        <color theme="1"/>
        <rFont val="Calibri"/>
        <family val="2"/>
        <charset val="204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</si>
  <si>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</si>
  <si>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</si>
  <si>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</si>
  <si>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rPr>
        <sz val="11"/>
        <color theme="1"/>
        <rFont val="Calibri"/>
        <family val="2"/>
        <charset val="204"/>
      </rPr>
      <t>Статус</t>
    </r>
    <r>
      <rPr>
        <b/>
        <sz val="11"/>
        <color theme="1"/>
        <rFont val="Calibri"/>
        <family val="2"/>
        <charset val="204"/>
      </rPr>
      <t>:</t>
    </r>
    <r>
      <rPr>
        <sz val="11"/>
        <color theme="1"/>
        <rFont val="Calibri"/>
        <family val="2"/>
        <charset val="204"/>
      </rPr>
      <t xml:space="preserve"> готово</t>
    </r>
  </si>
  <si>
    <t>// знаки препинания считаются</t>
  </si>
  <si>
    <t>-</t>
  </si>
  <si>
    <r>
      <rPr>
        <sz val="11"/>
        <color theme="1"/>
        <rFont val="Calibri"/>
        <family val="2"/>
        <charset val="204"/>
      </rPr>
      <t>909</t>
    </r>
    <r>
      <rPr>
        <b/>
        <sz val="11"/>
        <color theme="1"/>
        <rFont val="Calibri"/>
        <family val="2"/>
        <charset val="204"/>
      </rPr>
      <t>-</t>
    </r>
    <r>
      <rPr>
        <sz val="11"/>
        <color theme="1"/>
        <rFont val="Calibri"/>
        <family val="2"/>
        <charset val="204"/>
      </rPr>
      <t>888-55-66</t>
    </r>
  </si>
  <si>
    <t>// позиция 1го дефиса</t>
  </si>
  <si>
    <t>// работает с числами</t>
  </si>
  <si>
    <t>ПОДСТАВИТЬ</t>
  </si>
  <si>
    <t>Старый текст</t>
  </si>
  <si>
    <t>Новый текст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</si>
  <si>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</si>
  <si>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</si>
  <si>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</si>
  <si>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</si>
  <si>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</si>
  <si>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</si>
  <si>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</si>
  <si>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</si>
  <si>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</si>
  <si>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</si>
  <si>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</si>
  <si>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</si>
  <si>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</si>
  <si>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</si>
  <si>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</si>
  <si>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</si>
  <si>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</si>
  <si>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</si>
  <si>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</si>
  <si>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</si>
  <si>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</si>
  <si>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</si>
  <si>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</si>
  <si>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</si>
  <si>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</si>
  <si>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</si>
  <si>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</si>
  <si>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</si>
  <si>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</si>
  <si>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</si>
  <si>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</si>
  <si>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</si>
  <si>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</si>
  <si>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</si>
  <si>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</si>
  <si>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</si>
  <si>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</si>
  <si>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</si>
  <si>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</si>
  <si>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</si>
  <si>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</si>
  <si>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</si>
  <si>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</si>
  <si>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</si>
  <si>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</si>
  <si>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</si>
  <si>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</si>
  <si>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</si>
  <si>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</si>
  <si>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</si>
  <si>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</si>
  <si>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</si>
  <si>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</si>
  <si>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</si>
  <si>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</si>
  <si>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</si>
  <si>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</si>
  <si>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</si>
  <si>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</si>
  <si>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</si>
  <si>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</si>
  <si>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</si>
  <si>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</si>
  <si>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</si>
  <si>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</si>
  <si>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</si>
  <si>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</si>
  <si>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</si>
  <si>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</si>
  <si>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</si>
  <si>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</si>
  <si>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</si>
  <si>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</si>
  <si>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</si>
  <si>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</si>
  <si>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</si>
  <si>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</si>
  <si>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</si>
  <si>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</si>
  <si>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</si>
  <si>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</si>
  <si>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</si>
  <si>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</si>
  <si>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</si>
  <si>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</si>
  <si>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</si>
  <si>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</si>
  <si>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</si>
  <si>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</si>
  <si>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</si>
  <si>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</si>
  <si>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</si>
  <si>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</si>
  <si>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</si>
  <si>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</si>
  <si>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</si>
  <si>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</si>
  <si>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</si>
  <si>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</si>
  <si>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</si>
  <si>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</si>
  <si>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</si>
  <si>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</si>
  <si>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</si>
  <si>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</si>
  <si>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</si>
  <si>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</si>
  <si>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СЧИТАТЬПУСТОТЫ</t>
  </si>
  <si>
    <t>Пустых значений</t>
  </si>
  <si>
    <t>Холодильник</t>
  </si>
  <si>
    <t>Фен</t>
  </si>
  <si>
    <t xml:space="preserve">  </t>
  </si>
  <si>
    <t>//пробел</t>
  </si>
  <si>
    <t>//результат вычисления =""</t>
  </si>
  <si>
    <t>ЕПУСТО</t>
  </si>
  <si>
    <t>ЕТЕКСТ</t>
  </si>
  <si>
    <t>ЕЧИСЛО</t>
  </si>
  <si>
    <t>// текст</t>
  </si>
  <si>
    <t>// пустая ячейка</t>
  </si>
  <si>
    <t xml:space="preserve"> 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</si>
  <si>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</si>
  <si>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</si>
  <si>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</si>
  <si>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</si>
  <si>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</si>
  <si>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</si>
  <si>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</si>
  <si>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</si>
  <si>
    <t>НАИБОЛЬШИЙ</t>
  </si>
  <si>
    <t>НАИМЕНЬШИЙ</t>
  </si>
  <si>
    <t>№</t>
  </si>
  <si>
    <t>Наибольшие баллы</t>
  </si>
  <si>
    <t>Наименьшие баллы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</si>
  <si>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</si>
  <si>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</si>
  <si>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</si>
  <si>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</si>
  <si>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</si>
  <si>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</si>
  <si>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</si>
  <si>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</si>
  <si>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</si>
  <si>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</si>
  <si>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</si>
  <si>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</si>
  <si>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</si>
  <si>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</si>
  <si>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</si>
  <si>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</si>
  <si>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</si>
  <si>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</si>
  <si>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</si>
  <si>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</si>
  <si>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</si>
  <si>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</si>
  <si>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</si>
  <si>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</si>
  <si>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</si>
  <si>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</si>
  <si>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</si>
  <si>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</si>
  <si>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</si>
  <si>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</si>
  <si>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</si>
  <si>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</si>
  <si>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</si>
  <si>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</si>
  <si>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</si>
  <si>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</si>
  <si>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</si>
  <si>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</si>
  <si>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</si>
  <si>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</si>
  <si>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</si>
  <si>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</si>
  <si>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</si>
  <si>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</si>
  <si>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</si>
  <si>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</si>
  <si>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ПОИСКПОЗ</t>
  </si>
  <si>
    <t>РАНГ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</si>
</sst>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\.mm\.yyyy"/>
    <numFmt numFmtId="165" formatCode="dd/mm/yy\ h:mm"/>
    <numFmt numFmtId="166" formatCode="m/d/yyyy\ h:mm"/>
    <numFmt numFmtId="167" formatCode="dd/mm/yy"/>
    <numFmt numFmtId="168" formatCode="0.000"/>
    <numFmt numFmtId="169" formatCode="0.0"/>
    <numFmt numFmtId="170" formatCode="#,##0&quot; ₽&quot;"/>
    <numFmt numFmtId="171" formatCode="#,###&quot; ₽&quot;"/>
    <numFmt numFmtId="172" formatCode="0.00000000000000000000"/>
    <numFmt numFmtId="173" formatCode="#,##0.00&quot; ₽&quot;"/>
    <numFmt numFmtId="174" formatCode="0.0000000"/>
    <numFmt numFmtId="175" formatCode="#,##0.0"/>
  </numFmts>
  <fonts count="15" x14ac:knownFonts="1">
    <font>
      <sz val="11"/>
      <color theme="1"/>
      <name val="Calibri"/>
      <charset val="1"/>
    </font>
    <font>
      <sz val="10"/>
      <color theme="1"/>
      <name val="Arial Narrow"/>
      <family val="2"/>
      <charset val="204"/>
    </font>
    <font>
      <sz val="14"/>
      <color theme="1"/>
      <name val="Arial Black"/>
      <family val="2"/>
      <charset val="204"/>
    </font>
    <font>
      <b/>
      <sz val="16"/>
      <color theme="1"/>
      <name val="Calibri"/>
      <family val="2"/>
      <charset val="204"/>
    </font>
    <font>
      <sz val="11"/>
      <color rgb="FF7F7F7F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color theme="1"/>
      <name val="Calibri"/>
      <family val="2"/>
      <charset val="204"/>
    </font>
    <font>
      <sz val="12"/>
      <color rgb="FFFF6E40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2"/>
      <color rgb="FFFF6E40"/>
      <name val="Calibri"/>
      <family val="2"/>
      <charset val="204"/>
    </font>
    <font>
      <b/>
      <sz val="11"/>
      <color rgb="FFFF6E40"/>
      <name val="Calibri"/>
      <family val="2"/>
      <charset val="204"/>
    </font>
    <font>
      <sz val="12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25896"/>
        <bgColor rgb="FFFF6E40"/>
      </patternFill>
    </fill>
    <fill>
      <patternFill patternType="solid">
        <fgColor rgb="FFFDE9D9"/>
        <bgColor rgb="FFF2DBDB"/>
      </patternFill>
    </fill>
    <fill>
      <patternFill patternType="solid">
        <fgColor rgb="FFFF6E40"/>
        <bgColor rgb="FFE25896"/>
      </patternFill>
    </fill>
    <fill>
      <patternFill patternType="solid">
        <fgColor rgb="FFF2DBDB"/>
        <bgColor rgb="FFFDE9D9"/>
      </patternFill>
    </fill>
    <fill>
      <patternFill patternType="solid">
        <fgColor rgb="FFF6E3E1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5" fillId="4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0" fillId="0" borderId="1" xfId="0" applyFont="1" applyBorder="1"/>
    <xf numFmtId="164" fontId="0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164" fontId="0" fillId="0" borderId="1" xfId="0" applyNumberFormat="1" applyFont="1" applyBorder="1"/>
    <xf numFmtId="0" fontId="0" fillId="3" borderId="1" xfId="0" applyFont="1" applyFill="1" applyBorder="1"/>
    <xf numFmtId="164" fontId="0" fillId="0" borderId="0" xfId="0" applyNumberFormat="1" applyFont="1"/>
    <xf numFmtId="165" fontId="0" fillId="3" borderId="1" xfId="0" applyNumberFormat="1" applyFont="1" applyFill="1" applyBorder="1"/>
    <xf numFmtId="165" fontId="0" fillId="0" borderId="1" xfId="0" applyNumberFormat="1" applyFont="1" applyBorder="1"/>
    <xf numFmtId="166" fontId="0" fillId="0" borderId="0" xfId="0" applyNumberFormat="1" applyFont="1"/>
    <xf numFmtId="0" fontId="0" fillId="0" borderId="0" xfId="0" applyFont="1"/>
    <xf numFmtId="167" fontId="0" fillId="0" borderId="0" xfId="0" applyNumberFormat="1" applyFont="1"/>
    <xf numFmtId="0" fontId="8" fillId="0" borderId="0" xfId="0" applyFont="1"/>
    <xf numFmtId="0" fontId="3" fillId="0" borderId="0" xfId="0" applyFont="1" applyAlignment="1">
      <alignment horizontal="left"/>
    </xf>
    <xf numFmtId="2" fontId="0" fillId="3" borderId="1" xfId="0" applyNumberFormat="1" applyFont="1" applyFill="1" applyBorder="1"/>
    <xf numFmtId="168" fontId="0" fillId="0" borderId="1" xfId="0" applyNumberFormat="1" applyFont="1" applyBorder="1"/>
    <xf numFmtId="1" fontId="0" fillId="0" borderId="1" xfId="0" applyNumberFormat="1" applyFont="1" applyBorder="1"/>
    <xf numFmtId="0" fontId="0" fillId="0" borderId="0" xfId="0" applyFont="1" applyAlignment="1">
      <alignment horizontal="left"/>
    </xf>
    <xf numFmtId="0" fontId="5" fillId="2" borderId="2" xfId="0" applyFont="1" applyFill="1" applyBorder="1" applyAlignment="1">
      <alignment horizontal="center" vertical="center"/>
    </xf>
    <xf numFmtId="1" fontId="0" fillId="3" borderId="1" xfId="0" applyNumberFormat="1" applyFont="1" applyFill="1" applyBorder="1"/>
    <xf numFmtId="169" fontId="0" fillId="0" borderId="1" xfId="0" applyNumberFormat="1" applyFont="1" applyBorder="1"/>
    <xf numFmtId="164" fontId="9" fillId="0" borderId="1" xfId="0" applyNumberFormat="1" applyFont="1" applyBorder="1"/>
    <xf numFmtId="20" fontId="0" fillId="0" borderId="1" xfId="0" applyNumberFormat="1" applyFont="1" applyBorder="1"/>
    <xf numFmtId="170" fontId="0" fillId="0" borderId="1" xfId="0" applyNumberFormat="1" applyFont="1" applyBorder="1"/>
    <xf numFmtId="0" fontId="0" fillId="0" borderId="1" xfId="0" applyFont="1" applyBorder="1"/>
    <xf numFmtId="0" fontId="5" fillId="2" borderId="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0" fillId="0" borderId="1" xfId="0" applyNumberFormat="1" applyFont="1" applyBorder="1"/>
    <xf numFmtId="0" fontId="5" fillId="4" borderId="1" xfId="0" applyFont="1" applyFill="1" applyBorder="1" applyAlignment="1">
      <alignment horizontal="left" vertical="center"/>
    </xf>
    <xf numFmtId="0" fontId="0" fillId="5" borderId="1" xfId="0" applyFont="1" applyFill="1" applyBorder="1"/>
    <xf numFmtId="3" fontId="0" fillId="5" borderId="1" xfId="0" applyNumberFormat="1" applyFont="1" applyFill="1" applyBorder="1"/>
    <xf numFmtId="3" fontId="0" fillId="3" borderId="1" xfId="0" applyNumberFormat="1" applyFont="1" applyFill="1" applyBorder="1"/>
    <xf numFmtId="1" fontId="0" fillId="5" borderId="1" xfId="0" applyNumberFormat="1" applyFont="1" applyFill="1" applyBorder="1"/>
    <xf numFmtId="170" fontId="0" fillId="3" borderId="1" xfId="0" applyNumberFormat="1" applyFont="1" applyFill="1" applyBorder="1"/>
    <xf numFmtId="171" fontId="0" fillId="3" borderId="1" xfId="0" applyNumberFormat="1" applyFont="1" applyFill="1" applyBorder="1"/>
    <xf numFmtId="0" fontId="10" fillId="0" borderId="0" xfId="0" applyFont="1"/>
    <xf numFmtId="9" fontId="0" fillId="0" borderId="1" xfId="0" applyNumberFormat="1" applyFont="1" applyBorder="1"/>
    <xf numFmtId="0" fontId="5" fillId="2" borderId="1" xfId="0" applyFont="1" applyFill="1" applyBorder="1" applyAlignment="1">
      <alignment horizontal="center" vertical="center" wrapText="1"/>
    </xf>
    <xf numFmtId="170" fontId="11" fillId="0" borderId="1" xfId="0" applyNumberFormat="1" applyFont="1" applyBorder="1"/>
    <xf numFmtId="0" fontId="4" fillId="0" borderId="1" xfId="0" applyFont="1" applyBorder="1"/>
    <xf numFmtId="3" fontId="0" fillId="0" borderId="1" xfId="0" applyNumberFormat="1" applyFont="1" applyBorder="1"/>
    <xf numFmtId="172" fontId="0" fillId="0" borderId="0" xfId="0" applyNumberFormat="1" applyFont="1"/>
    <xf numFmtId="173" fontId="0" fillId="0" borderId="1" xfId="0" applyNumberFormat="1" applyFont="1" applyBorder="1"/>
    <xf numFmtId="174" fontId="0" fillId="0" borderId="1" xfId="0" applyNumberFormat="1" applyFont="1" applyBorder="1"/>
    <xf numFmtId="0" fontId="0" fillId="0" borderId="1" xfId="0" applyFont="1" applyBorder="1" applyAlignment="1">
      <alignment horizontal="center"/>
    </xf>
    <xf numFmtId="0" fontId="12" fillId="0" borderId="0" xfId="0" applyFont="1"/>
    <xf numFmtId="0" fontId="0" fillId="0" borderId="1" xfId="0" applyFont="1" applyBorder="1" applyAlignment="1"/>
    <xf numFmtId="0" fontId="11" fillId="0" borderId="0" xfId="0" applyFont="1"/>
    <xf numFmtId="0" fontId="0" fillId="3" borderId="1" xfId="0" applyFont="1" applyFill="1" applyBorder="1"/>
    <xf numFmtId="0" fontId="13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170" fontId="0" fillId="0" borderId="0" xfId="0" applyNumberFormat="1" applyFont="1"/>
    <xf numFmtId="175" fontId="0" fillId="0" borderId="1" xfId="0" applyNumberFormat="1" applyFont="1" applyBorder="1"/>
    <xf numFmtId="169" fontId="14" fillId="3" borderId="0" xfId="0" applyNumberFormat="1" applyFont="1" applyFill="1" applyBorder="1"/>
    <xf numFmtId="0" fontId="4" fillId="0" borderId="0" xfId="0" applyFont="1" applyAlignment="1">
      <alignment horizontal="left"/>
    </xf>
    <xf numFmtId="0" fontId="0" fillId="6" borderId="1" xfId="0" applyFont="1" applyFill="1" applyBorder="1"/>
    <xf numFmtId="0" fontId="0" fillId="0" borderId="5" xfId="0" applyBorder="1"/>
  </cellXfs>
  <cellStyles count="1">
    <cellStyle name="Обычный" xfId="0" builtinId="0"/>
  </cellStyles>
  <dxfs count="8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2DBDB"/>
        </patternFill>
      </fill>
    </dxf>
    <dxf>
      <fill>
        <patternFill>
          <bgColor rgb="FFF2DBDB"/>
        </patternFill>
      </fill>
    </dxf>
    <dxf>
      <fill>
        <patternFill>
          <bgColor rgb="FFF2DBDB"/>
        </patternFill>
      </fill>
    </dxf>
    <dxf>
      <fill>
        <patternFill>
          <bgColor rgb="FFF2DBD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DE9D9"/>
      <rgbColor rgb="FFCCFFFF"/>
      <rgbColor rgb="FF660066"/>
      <rgbColor rgb="FFE2589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E4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6E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19080</xdr:colOff>
      <xdr:row>0</xdr:row>
      <xdr:rowOff>0</xdr:rowOff>
    </xdr:from>
    <xdr:to>
      <xdr:col>0</xdr:col>
      <xdr:colOff>542520</xdr:colOff>
      <xdr:row>0</xdr:row>
      <xdr:rowOff>190080</xdr:rowOff>
    </xdr:to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908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786240</xdr:colOff>
      <xdr:row>2</xdr:row>
      <xdr:rowOff>121680</xdr:rowOff>
    </xdr:from>
    <xdr:to>
      <xdr:col>10</xdr:col>
      <xdr:colOff>463320</xdr:colOff>
      <xdr:row>6</xdr:row>
      <xdr:rowOff>140400</xdr:rowOff>
    </xdr:to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306760" y="562320"/>
          <a:ext cx="3171600" cy="780840"/>
        </a:xfrm>
        <a:prstGeom prst="roundRect">
          <a:avLst>
            <a:gd name="adj" fmla="val 4637"/>
          </a:avLst>
        </a:prstGeom>
        <a:solidFill>
          <a:srgbClr val="FFFFCC"/>
        </a:solidFill>
        <a:ln w="25400">
          <a:solidFill>
            <a:srgbClr val="000000"/>
          </a:solidFill>
          <a:round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1" u="none" strike="noStrike">
              <a:solidFill>
                <a:srgbClr val="FF0000"/>
              </a:solidFill>
              <a:effectLst/>
              <a:uFillTx/>
              <a:latin typeface="Calibri"/>
              <a:ea typeface="Calibri"/>
            </a:rPr>
            <a:t>ЗАДАНИЕ: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Из даты в столбце </a:t>
          </a: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B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 выделите день, месяц и год.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19080</xdr:colOff>
      <xdr:row>0</xdr:row>
      <xdr:rowOff>0</xdr:rowOff>
    </xdr:from>
    <xdr:to>
      <xdr:col>0</xdr:col>
      <xdr:colOff>542520</xdr:colOff>
      <xdr:row>0</xdr:row>
      <xdr:rowOff>190080</xdr:rowOff>
    </xdr:to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908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786240</xdr:colOff>
      <xdr:row>2</xdr:row>
      <xdr:rowOff>121680</xdr:rowOff>
    </xdr:from>
    <xdr:to>
      <xdr:col>9</xdr:col>
      <xdr:colOff>463320</xdr:colOff>
      <xdr:row>11</xdr:row>
      <xdr:rowOff>187920</xdr:rowOff>
    </xdr:to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4532040" y="562320"/>
          <a:ext cx="3171600" cy="1780920"/>
        </a:xfrm>
        <a:prstGeom prst="roundRect">
          <a:avLst>
            <a:gd name="adj" fmla="val 4637"/>
          </a:avLst>
        </a:prstGeom>
        <a:solidFill>
          <a:srgbClr val="FFFFCC"/>
        </a:solidFill>
        <a:ln w="25400">
          <a:solidFill>
            <a:srgbClr val="000000"/>
          </a:solidFill>
          <a:round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1" u="none" strike="noStrike">
              <a:solidFill>
                <a:srgbClr val="FF0000"/>
              </a:solidFill>
              <a:effectLst/>
              <a:uFillTx/>
              <a:latin typeface="Calibri"/>
              <a:ea typeface="Calibri"/>
            </a:rPr>
            <a:t>ЗАДАНИЕ: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С помощью формул поставьте в столбце </a:t>
          </a: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Премия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- </a:t>
          </a: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Да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 - напротив сотрудников, совершивших продаж на 90 000 руб. и более;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- </a:t>
          </a: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Нет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 - если условие не выполнено.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rgbClr val="A5A5A5"/>
              </a:solidFill>
              <a:effectLst/>
              <a:uFillTx/>
              <a:latin typeface="Calibri"/>
              <a:ea typeface="Calibri"/>
            </a:rPr>
            <a:t>Ответ: премию получают 6 человек.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247680</xdr:colOff>
      <xdr:row>3</xdr:row>
      <xdr:rowOff>131040</xdr:rowOff>
    </xdr:from>
    <xdr:to>
      <xdr:col>10</xdr:col>
      <xdr:colOff>473760</xdr:colOff>
      <xdr:row>6</xdr:row>
      <xdr:rowOff>159120</xdr:rowOff>
    </xdr:to>
    <xdr:sp macro="" textlink="">
      <xdr:nvSpPr>
        <xdr:cNvPr id="10" name="Shape 8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4839480" y="762120"/>
          <a:ext cx="3085920" cy="5997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1" u="none" strike="noStrike">
              <a:solidFill>
                <a:srgbClr val="7F7F7F"/>
              </a:solidFill>
              <a:effectLst/>
              <a:uFillTx/>
              <a:latin typeface="Calibri"/>
              <a:ea typeface="Calibri"/>
            </a:rPr>
            <a:t>И</a:t>
          </a:r>
          <a:r>
            <a:rPr lang="en-US" sz="1400" b="0" u="none" strike="noStrike">
              <a:solidFill>
                <a:srgbClr val="7F7F7F"/>
              </a:solidFill>
              <a:effectLst/>
              <a:uFillTx/>
              <a:latin typeface="Calibri"/>
              <a:ea typeface="Calibri"/>
            </a:rPr>
            <a:t> : проверка "Кол-во"</a:t>
          </a:r>
          <a:endParaRPr lang="en-US" sz="14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u="none" strike="noStrike">
              <a:solidFill>
                <a:srgbClr val="7F7F7F"/>
              </a:solidFill>
              <a:effectLst/>
              <a:uFillTx/>
              <a:latin typeface="Calibri"/>
              <a:ea typeface="Calibri"/>
            </a:rPr>
            <a:t>больше 100 И меньше 130</a:t>
          </a:r>
          <a:endParaRPr lang="en-US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304920</xdr:colOff>
      <xdr:row>8</xdr:row>
      <xdr:rowOff>131040</xdr:rowOff>
    </xdr:from>
    <xdr:to>
      <xdr:col>10</xdr:col>
      <xdr:colOff>407160</xdr:colOff>
      <xdr:row>11</xdr:row>
      <xdr:rowOff>159120</xdr:rowOff>
    </xdr:to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4896720" y="1714680"/>
          <a:ext cx="2962080" cy="5997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1" u="none" strike="noStrike">
              <a:solidFill>
                <a:srgbClr val="7F7F7F"/>
              </a:solidFill>
              <a:effectLst/>
              <a:uFillTx/>
              <a:latin typeface="Calibri"/>
              <a:ea typeface="Calibri"/>
            </a:rPr>
            <a:t>ИЛИ</a:t>
          </a:r>
          <a:r>
            <a:rPr lang="en-US" sz="1400" b="0" u="none" strike="noStrike">
              <a:solidFill>
                <a:srgbClr val="7F7F7F"/>
              </a:solidFill>
              <a:effectLst/>
              <a:uFillTx/>
              <a:latin typeface="Calibri"/>
              <a:ea typeface="Calibri"/>
            </a:rPr>
            <a:t> : проверка "Цвет"</a:t>
          </a:r>
          <a:endParaRPr lang="en-US" sz="14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0" u="none" strike="noStrike">
              <a:solidFill>
                <a:srgbClr val="7F7F7F"/>
              </a:solidFill>
              <a:effectLst/>
              <a:uFillTx/>
              <a:latin typeface="Calibri"/>
              <a:ea typeface="Calibri"/>
            </a:rPr>
            <a:t>является "Красным" ИЛИ "Синим"</a:t>
          </a:r>
          <a:endParaRPr lang="en-US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182460</xdr:rowOff>
    </xdr:to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373680</xdr:colOff>
      <xdr:row>7</xdr:row>
      <xdr:rowOff>121320</xdr:rowOff>
    </xdr:from>
    <xdr:to>
      <xdr:col>9</xdr:col>
      <xdr:colOff>460080</xdr:colOff>
      <xdr:row>15</xdr:row>
      <xdr:rowOff>130680</xdr:rowOff>
    </xdr:to>
    <xdr:sp macro="" textlink="">
      <xdr:nvSpPr>
        <xdr:cNvPr id="13" name="Shape 1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5136120" y="1514520"/>
          <a:ext cx="3228480" cy="1533240"/>
        </a:xfrm>
        <a:prstGeom prst="roundRect">
          <a:avLst>
            <a:gd name="adj" fmla="val 4637"/>
          </a:avLst>
        </a:prstGeom>
        <a:solidFill>
          <a:srgbClr val="FFFFCC"/>
        </a:solidFill>
        <a:ln w="25400">
          <a:solidFill>
            <a:srgbClr val="000000"/>
          </a:solidFill>
          <a:round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1" u="none" strike="noStrike">
              <a:solidFill>
                <a:srgbClr val="FF0000"/>
              </a:solidFill>
              <a:effectLst/>
              <a:uFillTx/>
              <a:latin typeface="Calibri"/>
              <a:ea typeface="Calibri"/>
            </a:rPr>
            <a:t>ЗАДАНИЕ: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С помощью функции </a:t>
          </a: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СЧЁТЕСЛИ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 посчитайте количество ресторанов, соответствующих  условиям в столбце </a:t>
          </a: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G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rgbClr val="A5A5A5"/>
              </a:solidFill>
              <a:effectLst/>
              <a:uFillTx/>
              <a:latin typeface="Calibri"/>
              <a:ea typeface="Calibri"/>
            </a:rPr>
            <a:t>Ответ: 6; 4; 3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523800</xdr:colOff>
      <xdr:row>12</xdr:row>
      <xdr:rowOff>130680</xdr:rowOff>
    </xdr:from>
    <xdr:to>
      <xdr:col>2</xdr:col>
      <xdr:colOff>263880</xdr:colOff>
      <xdr:row>14</xdr:row>
      <xdr:rowOff>168480</xdr:rowOff>
    </xdr:to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pSpPr/>
      </xdr:nvGrpSpPr>
      <xdr:grpSpPr>
        <a:xfrm>
          <a:off x="523800" y="2424300"/>
          <a:ext cx="1500300" cy="403560"/>
          <a:chOff x="523800" y="2476440"/>
          <a:chExt cx="1552320" cy="418680"/>
        </a:xfrm>
      </xdr:grpSpPr>
      <xdr:grpSp>
        <xdr:nvGrpSpPr>
          <xdr:cNvPr id="16" name="Shape 11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GrpSpPr/>
        </xdr:nvGrpSpPr>
        <xdr:grpSpPr>
          <a:xfrm>
            <a:off x="523800" y="2476440"/>
            <a:ext cx="1552320" cy="418680"/>
            <a:chOff x="523800" y="2476440"/>
            <a:chExt cx="1552320" cy="418680"/>
          </a:xfrm>
        </xdr:grpSpPr>
        <xdr:sp macro="" textlink="">
          <xdr:nvSpPr>
            <xdr:cNvPr id="17" name="Shape 12">
              <a:extLst>
                <a:ext uri="{FF2B5EF4-FFF2-40B4-BE49-F238E27FC236}">
                  <a16:creationId xmlns:a16="http://schemas.microsoft.com/office/drawing/2014/main" id="{00000000-0008-0000-0A00-000011000000}"/>
                </a:ext>
              </a:extLst>
            </xdr:cNvPr>
            <xdr:cNvSpPr/>
          </xdr:nvSpPr>
          <xdr:spPr>
            <a:xfrm>
              <a:off x="523800" y="2476440"/>
              <a:ext cx="1552320" cy="41868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sp macro="" textlink="">
          <xdr:nvSpPr>
            <xdr:cNvPr id="18" name="Shape 13">
              <a:extLst>
                <a:ext uri="{FF2B5EF4-FFF2-40B4-BE49-F238E27FC236}">
                  <a16:creationId xmlns:a16="http://schemas.microsoft.com/office/drawing/2014/main" id="{00000000-0008-0000-0A00-000012000000}"/>
                </a:ext>
              </a:extLst>
            </xdr:cNvPr>
            <xdr:cNvSpPr/>
          </xdr:nvSpPr>
          <xdr:spPr>
            <a:xfrm>
              <a:off x="523800" y="2476440"/>
              <a:ext cx="606960" cy="29520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anchor="t">
              <a:noAutofit/>
            </a:bodyPr>
            <a:lstStyle/>
            <a:p>
              <a:pPr>
                <a:lnSpc>
                  <a:spcPct val="100000"/>
                </a:lnSpc>
                <a:tabLst>
                  <a:tab pos="0" algn="l"/>
                </a:tabLst>
              </a:pPr>
              <a:r>
                <a:rPr lang="en-US" sz="1400" b="0" u="none" strike="noStrike">
                  <a:solidFill>
                    <a:srgbClr val="FF6E40"/>
                  </a:solidFill>
                  <a:effectLst/>
                  <a:uFillTx/>
                  <a:latin typeface="Calibri"/>
                  <a:ea typeface="Calibri"/>
                </a:rPr>
                <a:t>1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  <xdr:sp macro="" textlink="">
          <xdr:nvSpPr>
            <xdr:cNvPr id="19" name="Shape 14">
              <a:extLst>
                <a:ext uri="{FF2B5EF4-FFF2-40B4-BE49-F238E27FC236}">
                  <a16:creationId xmlns:a16="http://schemas.microsoft.com/office/drawing/2014/main" id="{00000000-0008-0000-0A00-000013000000}"/>
                </a:ext>
              </a:extLst>
            </xdr:cNvPr>
            <xdr:cNvSpPr/>
          </xdr:nvSpPr>
          <xdr:spPr>
            <a:xfrm>
              <a:off x="739800" y="2476440"/>
              <a:ext cx="1336320" cy="41868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anchor="t">
              <a:noAutofit/>
            </a:bodyPr>
            <a:lstStyle/>
            <a:p>
              <a:pPr>
                <a:lnSpc>
                  <a:spcPct val="100000"/>
                </a:lnSpc>
                <a:tabLst>
                  <a:tab pos="0" algn="l"/>
                </a:tabLst>
              </a:pPr>
              <a:r>
                <a:rPr lang="en-US" sz="1400" b="0" i="1" u="none" strike="noStrike">
                  <a:solidFill>
                    <a:srgbClr val="7F7F7F"/>
                  </a:solidFill>
                  <a:effectLst/>
                  <a:uFillTx/>
                  <a:latin typeface="Calibri"/>
                  <a:ea typeface="Calibri"/>
                </a:rPr>
                <a:t>Диапазон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</xdr:grpSp>
    </xdr:grpSp>
    <xdr:clientData/>
  </xdr:twoCellAnchor>
  <xdr:twoCellAnchor editAs="oneCell">
    <xdr:from>
      <xdr:col>3</xdr:col>
      <xdr:colOff>0</xdr:colOff>
      <xdr:row>12</xdr:row>
      <xdr:rowOff>130680</xdr:rowOff>
    </xdr:from>
    <xdr:to>
      <xdr:col>4</xdr:col>
      <xdr:colOff>314640</xdr:colOff>
      <xdr:row>16</xdr:row>
      <xdr:rowOff>54360</xdr:rowOff>
    </xdr:to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GrpSpPr/>
      </xdr:nvGrpSpPr>
      <xdr:grpSpPr>
        <a:xfrm>
          <a:off x="2895600" y="2424300"/>
          <a:ext cx="1503360" cy="655200"/>
          <a:chOff x="2980080" y="2476440"/>
          <a:chExt cx="1533240" cy="685440"/>
        </a:xfrm>
      </xdr:grpSpPr>
      <xdr:grpSp>
        <xdr:nvGrpSpPr>
          <xdr:cNvPr id="21" name="Shape 15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GrpSpPr/>
        </xdr:nvGrpSpPr>
        <xdr:grpSpPr>
          <a:xfrm>
            <a:off x="2980080" y="2476440"/>
            <a:ext cx="1533240" cy="685440"/>
            <a:chOff x="2980080" y="2476440"/>
            <a:chExt cx="1533240" cy="685440"/>
          </a:xfrm>
        </xdr:grpSpPr>
        <xdr:sp macro="" textlink="">
          <xdr:nvSpPr>
            <xdr:cNvPr id="22" name="Shape 12">
              <a:extLst>
                <a:ext uri="{FF2B5EF4-FFF2-40B4-BE49-F238E27FC236}">
                  <a16:creationId xmlns:a16="http://schemas.microsoft.com/office/drawing/2014/main" id="{00000000-0008-0000-0A00-000016000000}"/>
                </a:ext>
              </a:extLst>
            </xdr:cNvPr>
            <xdr:cNvSpPr/>
          </xdr:nvSpPr>
          <xdr:spPr>
            <a:xfrm>
              <a:off x="2980080" y="2476440"/>
              <a:ext cx="1533240" cy="68544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sp macro="" textlink="">
          <xdr:nvSpPr>
            <xdr:cNvPr id="23" name="Shape 16">
              <a:extLst>
                <a:ext uri="{FF2B5EF4-FFF2-40B4-BE49-F238E27FC236}">
                  <a16:creationId xmlns:a16="http://schemas.microsoft.com/office/drawing/2014/main" id="{00000000-0008-0000-0A00-000017000000}"/>
                </a:ext>
              </a:extLst>
            </xdr:cNvPr>
            <xdr:cNvSpPr/>
          </xdr:nvSpPr>
          <xdr:spPr>
            <a:xfrm>
              <a:off x="2980080" y="2500200"/>
              <a:ext cx="613080" cy="29988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anchor="t">
              <a:noAutofit/>
            </a:bodyPr>
            <a:lstStyle/>
            <a:p>
              <a:pPr>
                <a:lnSpc>
                  <a:spcPct val="100000"/>
                </a:lnSpc>
                <a:tabLst>
                  <a:tab pos="0" algn="l"/>
                </a:tabLst>
              </a:pPr>
              <a:r>
                <a:rPr lang="en-US" sz="1400" b="0" u="none" strike="noStrike">
                  <a:solidFill>
                    <a:srgbClr val="FF6E40"/>
                  </a:solidFill>
                  <a:effectLst/>
                  <a:uFillTx/>
                  <a:latin typeface="Calibri"/>
                  <a:ea typeface="Calibri"/>
                </a:rPr>
                <a:t>3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  <xdr:sp macro="" textlink="">
          <xdr:nvSpPr>
            <xdr:cNvPr id="24" name="Shape 17">
              <a:extLst>
                <a:ext uri="{FF2B5EF4-FFF2-40B4-BE49-F238E27FC236}">
                  <a16:creationId xmlns:a16="http://schemas.microsoft.com/office/drawing/2014/main" id="{00000000-0008-0000-0A00-000018000000}"/>
                </a:ext>
              </a:extLst>
            </xdr:cNvPr>
            <xdr:cNvSpPr/>
          </xdr:nvSpPr>
          <xdr:spPr>
            <a:xfrm>
              <a:off x="3165840" y="2476440"/>
              <a:ext cx="1347480" cy="68544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anchor="t">
              <a:noAutofit/>
            </a:bodyPr>
            <a:lstStyle/>
            <a:p>
              <a:pPr>
                <a:lnSpc>
                  <a:spcPct val="100000"/>
                </a:lnSpc>
                <a:tabLst>
                  <a:tab pos="0" algn="l"/>
                </a:tabLst>
              </a:pPr>
              <a:r>
                <a:rPr lang="en-US" sz="1400" b="0" i="1" u="none" strike="noStrike">
                  <a:solidFill>
                    <a:srgbClr val="7F7F7F"/>
                  </a:solidFill>
                  <a:effectLst/>
                  <a:uFillTx/>
                  <a:latin typeface="Calibri"/>
                  <a:ea typeface="Calibri"/>
                </a:rPr>
                <a:t>Диапазон суммирования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</xdr:grpSp>
    </xdr:grpSp>
    <xdr:clientData/>
  </xdr:twoCellAnchor>
  <xdr:twoCellAnchor editAs="oneCell">
    <xdr:from>
      <xdr:col>5</xdr:col>
      <xdr:colOff>495360</xdr:colOff>
      <xdr:row>4</xdr:row>
      <xdr:rowOff>131040</xdr:rowOff>
    </xdr:from>
    <xdr:to>
      <xdr:col>7</xdr:col>
      <xdr:colOff>682920</xdr:colOff>
      <xdr:row>8</xdr:row>
      <xdr:rowOff>64080</xdr:rowOff>
    </xdr:to>
    <xdr:grpSp>
      <xdr:nvGrpSpPr>
        <xdr:cNvPr id="25" name="Shape 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GrpSpPr/>
      </xdr:nvGrpSpPr>
      <xdr:grpSpPr>
        <a:xfrm>
          <a:off x="5135940" y="961620"/>
          <a:ext cx="1780140" cy="664560"/>
          <a:chOff x="5267880" y="952560"/>
          <a:chExt cx="1828440" cy="695160"/>
        </a:xfrm>
      </xdr:grpSpPr>
      <xdr:grpSp>
        <xdr:nvGrpSpPr>
          <xdr:cNvPr id="26" name="Shape 18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GrpSpPr/>
        </xdr:nvGrpSpPr>
        <xdr:grpSpPr>
          <a:xfrm>
            <a:off x="5267880" y="952560"/>
            <a:ext cx="1828440" cy="695160"/>
            <a:chOff x="5267880" y="952560"/>
            <a:chExt cx="1828440" cy="695160"/>
          </a:xfrm>
        </xdr:grpSpPr>
        <xdr:sp macro="" textlink="">
          <xdr:nvSpPr>
            <xdr:cNvPr id="27" name="Shape 12">
              <a:extLst>
                <a:ext uri="{FF2B5EF4-FFF2-40B4-BE49-F238E27FC236}">
                  <a16:creationId xmlns:a16="http://schemas.microsoft.com/office/drawing/2014/main" id="{00000000-0008-0000-0A00-00001B000000}"/>
                </a:ext>
              </a:extLst>
            </xdr:cNvPr>
            <xdr:cNvSpPr/>
          </xdr:nvSpPr>
          <xdr:spPr>
            <a:xfrm>
              <a:off x="5267880" y="952560"/>
              <a:ext cx="1828440" cy="69480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sp macro="" textlink="">
          <xdr:nvSpPr>
            <xdr:cNvPr id="28" name="Shape 19">
              <a:extLst>
                <a:ext uri="{FF2B5EF4-FFF2-40B4-BE49-F238E27FC236}">
                  <a16:creationId xmlns:a16="http://schemas.microsoft.com/office/drawing/2014/main" id="{00000000-0008-0000-0A00-00001C000000}"/>
                </a:ext>
              </a:extLst>
            </xdr:cNvPr>
            <xdr:cNvSpPr/>
          </xdr:nvSpPr>
          <xdr:spPr>
            <a:xfrm>
              <a:off x="5267880" y="952560"/>
              <a:ext cx="641880" cy="29700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anchor="t">
              <a:noAutofit/>
            </a:bodyPr>
            <a:lstStyle/>
            <a:p>
              <a:pPr>
                <a:lnSpc>
                  <a:spcPct val="100000"/>
                </a:lnSpc>
                <a:tabLst>
                  <a:tab pos="0" algn="l"/>
                </a:tabLst>
              </a:pPr>
              <a:r>
                <a:rPr lang="en-US" sz="1400" b="0" u="none" strike="noStrike">
                  <a:solidFill>
                    <a:srgbClr val="FF6E40"/>
                  </a:solidFill>
                  <a:effectLst/>
                  <a:uFillTx/>
                  <a:latin typeface="Calibri"/>
                  <a:ea typeface="Calibri"/>
                </a:rPr>
                <a:t>2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  <xdr:sp macro="" textlink="">
          <xdr:nvSpPr>
            <xdr:cNvPr id="29" name="Shape 20">
              <a:extLst>
                <a:ext uri="{FF2B5EF4-FFF2-40B4-BE49-F238E27FC236}">
                  <a16:creationId xmlns:a16="http://schemas.microsoft.com/office/drawing/2014/main" id="{00000000-0008-0000-0A00-00001D000000}"/>
                </a:ext>
              </a:extLst>
            </xdr:cNvPr>
            <xdr:cNvSpPr/>
          </xdr:nvSpPr>
          <xdr:spPr>
            <a:xfrm>
              <a:off x="5496120" y="968400"/>
              <a:ext cx="1600200" cy="67932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anchor="t">
              <a:noAutofit/>
            </a:bodyPr>
            <a:lstStyle/>
            <a:p>
              <a:pPr>
                <a:lnSpc>
                  <a:spcPct val="100000"/>
                </a:lnSpc>
                <a:tabLst>
                  <a:tab pos="0" algn="l"/>
                </a:tabLst>
              </a:pPr>
              <a:r>
                <a:rPr lang="en-US" sz="1400" b="0" i="1" u="none" strike="noStrike">
                  <a:solidFill>
                    <a:srgbClr val="7F7F7F"/>
                  </a:solidFill>
                  <a:effectLst/>
                  <a:uFillTx/>
                  <a:latin typeface="Calibri"/>
                  <a:ea typeface="Calibri"/>
                </a:rPr>
                <a:t>Критерий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</xdr:grpSp>
    </xdr:grpSp>
    <xdr:clientData/>
  </xdr:twoCellAnchor>
  <xdr:twoCellAnchor editAs="oneCell">
    <xdr:from>
      <xdr:col>5</xdr:col>
      <xdr:colOff>399960</xdr:colOff>
      <xdr:row>7</xdr:row>
      <xdr:rowOff>187920</xdr:rowOff>
    </xdr:from>
    <xdr:to>
      <xdr:col>11</xdr:col>
      <xdr:colOff>183960</xdr:colOff>
      <xdr:row>15</xdr:row>
      <xdr:rowOff>178200</xdr:rowOff>
    </xdr:to>
    <xdr:sp macro="" textlink="">
      <xdr:nvSpPr>
        <xdr:cNvPr id="30" name="Shape 21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/>
      </xdr:nvSpPr>
      <xdr:spPr>
        <a:xfrm>
          <a:off x="5172480" y="1581120"/>
          <a:ext cx="4123800" cy="15141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0" i="1" u="none" strike="noStrike">
              <a:solidFill>
                <a:srgbClr val="7F7F7F"/>
              </a:solidFill>
              <a:effectLst/>
              <a:uFillTx/>
              <a:latin typeface="Calibri"/>
              <a:ea typeface="Calibri"/>
            </a:rPr>
            <a:t>Сумма всех заказов из "Москвы" - 33 000.</a:t>
          </a:r>
          <a:endParaRPr lang="en-US" sz="14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0" i="1" u="none" strike="noStrike">
              <a:solidFill>
                <a:srgbClr val="7F7F7F"/>
              </a:solidFill>
              <a:effectLst/>
              <a:uFillTx/>
              <a:latin typeface="Calibri"/>
              <a:ea typeface="Calibri"/>
            </a:rPr>
            <a:t>1. Диапазон = B:B</a:t>
          </a:r>
          <a:endParaRPr lang="en-US" sz="14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0" i="1" u="none" strike="noStrike">
              <a:solidFill>
                <a:srgbClr val="7F7F7F"/>
              </a:solidFill>
              <a:effectLst/>
              <a:uFillTx/>
              <a:latin typeface="Calibri"/>
              <a:ea typeface="Calibri"/>
            </a:rPr>
            <a:t>2. Критерий = G5</a:t>
          </a:r>
          <a:endParaRPr lang="en-US" sz="14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0" i="1" u="none" strike="noStrike">
              <a:solidFill>
                <a:srgbClr val="7F7F7F"/>
              </a:solidFill>
              <a:effectLst/>
              <a:uFillTx/>
              <a:latin typeface="Calibri"/>
              <a:ea typeface="Calibri"/>
            </a:rPr>
            <a:t>3. Диапазон суммирования = D:D</a:t>
          </a:r>
          <a:endParaRPr lang="en-US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31" name="Shape 5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624960</xdr:colOff>
      <xdr:row>2</xdr:row>
      <xdr:rowOff>121680</xdr:rowOff>
    </xdr:from>
    <xdr:to>
      <xdr:col>10</xdr:col>
      <xdr:colOff>491040</xdr:colOff>
      <xdr:row>9</xdr:row>
      <xdr:rowOff>111960</xdr:rowOff>
    </xdr:to>
    <xdr:sp macro="" textlink="">
      <xdr:nvSpPr>
        <xdr:cNvPr id="33" name="Shape 22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/>
      </xdr:nvSpPr>
      <xdr:spPr>
        <a:xfrm>
          <a:off x="4532760" y="562320"/>
          <a:ext cx="3038040" cy="1323720"/>
        </a:xfrm>
        <a:prstGeom prst="roundRect">
          <a:avLst>
            <a:gd name="adj" fmla="val 4637"/>
          </a:avLst>
        </a:prstGeom>
        <a:solidFill>
          <a:srgbClr val="FFFFCC"/>
        </a:solidFill>
        <a:ln w="25400">
          <a:solidFill>
            <a:srgbClr val="000000"/>
          </a:solidFill>
          <a:round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1" u="none" strike="noStrike">
              <a:solidFill>
                <a:srgbClr val="FF0000"/>
              </a:solidFill>
              <a:effectLst/>
              <a:uFillTx/>
              <a:latin typeface="Calibri"/>
              <a:ea typeface="Calibri"/>
            </a:rPr>
            <a:t>ЗАДАНИЕ: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С помощью функций </a:t>
          </a: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МИН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 и </a:t>
          </a: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МАКС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 вычислите минимальный и максимальный балл из списка. 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37" name="Shape 5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624960</xdr:colOff>
      <xdr:row>2</xdr:row>
      <xdr:rowOff>181080</xdr:rowOff>
    </xdr:from>
    <xdr:to>
      <xdr:col>9</xdr:col>
      <xdr:colOff>197640</xdr:colOff>
      <xdr:row>10</xdr:row>
      <xdr:rowOff>37800</xdr:rowOff>
    </xdr:to>
    <xdr:sp macro="" textlink="">
      <xdr:nvSpPr>
        <xdr:cNvPr id="38" name="Shape 23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SpPr/>
      </xdr:nvSpPr>
      <xdr:spPr>
        <a:xfrm>
          <a:off x="4663080" y="638280"/>
          <a:ext cx="3066840" cy="1380600"/>
        </a:xfrm>
        <a:prstGeom prst="roundRect">
          <a:avLst>
            <a:gd name="adj" fmla="val 4637"/>
          </a:avLst>
        </a:prstGeom>
        <a:solidFill>
          <a:srgbClr val="FFFFCC"/>
        </a:solidFill>
        <a:ln w="25400">
          <a:solidFill>
            <a:srgbClr val="000000"/>
          </a:solidFill>
          <a:round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1" u="none" strike="noStrike">
              <a:solidFill>
                <a:srgbClr val="FF0000"/>
              </a:solidFill>
              <a:effectLst/>
              <a:uFillTx/>
              <a:latin typeface="Calibri"/>
              <a:ea typeface="Calibri"/>
            </a:rPr>
            <a:t>ЗАДАНИЕ: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Из приведенного списка создайте актуальный список кодов для 2026 года, используя функцию </a:t>
          </a: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ЗАМЕНИТЬ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.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42" name="Shape 5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43" name="Shape 5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44" name="Shape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45" name="Shape 5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46" name="Shape 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581040</xdr:colOff>
      <xdr:row>2</xdr:row>
      <xdr:rowOff>121680</xdr:rowOff>
    </xdr:from>
    <xdr:to>
      <xdr:col>11</xdr:col>
      <xdr:colOff>447120</xdr:colOff>
      <xdr:row>9</xdr:row>
      <xdr:rowOff>111960</xdr:rowOff>
    </xdr:to>
    <xdr:sp macro="" textlink="">
      <xdr:nvSpPr>
        <xdr:cNvPr id="47" name="Shape 28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/>
      </xdr:nvSpPr>
      <xdr:spPr>
        <a:xfrm>
          <a:off x="4942080" y="562320"/>
          <a:ext cx="3038040" cy="1323720"/>
        </a:xfrm>
        <a:prstGeom prst="roundRect">
          <a:avLst>
            <a:gd name="adj" fmla="val 4637"/>
          </a:avLst>
        </a:prstGeom>
        <a:solidFill>
          <a:srgbClr val="FFFFCC"/>
        </a:solidFill>
        <a:ln w="25400">
          <a:solidFill>
            <a:srgbClr val="000000"/>
          </a:solidFill>
          <a:round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1" u="none" strike="noStrike">
              <a:solidFill>
                <a:srgbClr val="FF0000"/>
              </a:solidFill>
              <a:effectLst/>
              <a:uFillTx/>
              <a:latin typeface="Calibri"/>
              <a:ea typeface="Calibri"/>
            </a:rPr>
            <a:t>ЗАДАНИЕ: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С помощью функций </a:t>
          </a: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НАИБОЛЬШИЙ 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и </a:t>
          </a: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НАИМЕНЬШИЙ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 составьте рейтинг 3х самых высоких и самых низких баллов.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15</xdr:row>
      <xdr:rowOff>19080</xdr:rowOff>
    </xdr:from>
    <xdr:to>
      <xdr:col>4</xdr:col>
      <xdr:colOff>1047960</xdr:colOff>
      <xdr:row>20</xdr:row>
      <xdr:rowOff>47160</xdr:rowOff>
    </xdr:to>
    <xdr:grpSp>
      <xdr:nvGrpSpPr>
        <xdr:cNvPr id="49" name="Shape 2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GrpSpPr/>
      </xdr:nvGrpSpPr>
      <xdr:grpSpPr>
        <a:xfrm>
          <a:off x="457200" y="2861340"/>
          <a:ext cx="4705560" cy="942480"/>
          <a:chOff x="457200" y="2952720"/>
          <a:chExt cx="4819320" cy="980640"/>
        </a:xfrm>
      </xdr:grpSpPr>
      <xdr:grpSp>
        <xdr:nvGrpSpPr>
          <xdr:cNvPr id="50" name="Shape 24">
            <a:extLst>
              <a:ext uri="{FF2B5EF4-FFF2-40B4-BE49-F238E27FC236}">
                <a16:creationId xmlns:a16="http://schemas.microsoft.com/office/drawing/2014/main" id="{00000000-0008-0000-1900-000032000000}"/>
              </a:ext>
            </a:extLst>
          </xdr:cNvPr>
          <xdr:cNvGrpSpPr/>
        </xdr:nvGrpSpPr>
        <xdr:grpSpPr>
          <a:xfrm>
            <a:off x="457200" y="2952720"/>
            <a:ext cx="4819320" cy="980640"/>
            <a:chOff x="457200" y="2952720"/>
            <a:chExt cx="4819320" cy="980640"/>
          </a:xfrm>
        </xdr:grpSpPr>
        <xdr:sp macro="" textlink="">
          <xdr:nvSpPr>
            <xdr:cNvPr id="51" name="Shape 12">
              <a:extLst>
                <a:ext uri="{FF2B5EF4-FFF2-40B4-BE49-F238E27FC236}">
                  <a16:creationId xmlns:a16="http://schemas.microsoft.com/office/drawing/2014/main" id="{00000000-0008-0000-1900-000033000000}"/>
                </a:ext>
              </a:extLst>
            </xdr:cNvPr>
            <xdr:cNvSpPr/>
          </xdr:nvSpPr>
          <xdr:spPr>
            <a:xfrm>
              <a:off x="457200" y="2952720"/>
              <a:ext cx="4819320" cy="98064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sp macro="" textlink="">
          <xdr:nvSpPr>
            <xdr:cNvPr id="52" name="Shape 25">
              <a:extLst>
                <a:ext uri="{FF2B5EF4-FFF2-40B4-BE49-F238E27FC236}">
                  <a16:creationId xmlns:a16="http://schemas.microsoft.com/office/drawing/2014/main" id="{00000000-0008-0000-1900-000034000000}"/>
                </a:ext>
              </a:extLst>
            </xdr:cNvPr>
            <xdr:cNvSpPr/>
          </xdr:nvSpPr>
          <xdr:spPr>
            <a:xfrm>
              <a:off x="457200" y="2960640"/>
              <a:ext cx="1534680" cy="972720"/>
            </a:xfrm>
            <a:prstGeom prst="rect">
              <a:avLst/>
            </a:prstGeom>
            <a:solidFill>
              <a:srgbClr val="FFFFFF"/>
            </a:solidFill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anchor="t">
              <a:noAutofit/>
            </a:bodyPr>
            <a:lstStyle/>
            <a:p>
              <a:pPr>
                <a:lnSpc>
                  <a:spcPct val="100000"/>
                </a:lnSpc>
                <a:tabLst>
                  <a:tab pos="0" algn="l"/>
                </a:tabLst>
              </a:pPr>
              <a:r>
                <a:rPr lang="en-US" sz="1400" b="0" i="1" u="none" strike="noStrike">
                  <a:solidFill>
                    <a:srgbClr val="7F7F7F"/>
                  </a:solidFill>
                  <a:effectLst/>
                  <a:uFillTx/>
                  <a:latin typeface="Calibri"/>
                  <a:ea typeface="Calibri"/>
                </a:rPr>
                <a:t>Поиск искомого значения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  <xdr:sp macro="" textlink="">
          <xdr:nvSpPr>
            <xdr:cNvPr id="53" name="Shape 26">
              <a:extLst>
                <a:ext uri="{FF2B5EF4-FFF2-40B4-BE49-F238E27FC236}">
                  <a16:creationId xmlns:a16="http://schemas.microsoft.com/office/drawing/2014/main" id="{00000000-0008-0000-1900-000035000000}"/>
                </a:ext>
              </a:extLst>
            </xdr:cNvPr>
            <xdr:cNvSpPr/>
          </xdr:nvSpPr>
          <xdr:spPr>
            <a:xfrm>
              <a:off x="3913560" y="2952720"/>
              <a:ext cx="1362960" cy="720000"/>
            </a:xfrm>
            <a:prstGeom prst="rect">
              <a:avLst/>
            </a:prstGeom>
            <a:solidFill>
              <a:srgbClr val="FFFFFF"/>
            </a:solidFill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anchor="t">
              <a:noAutofit/>
            </a:bodyPr>
            <a:lstStyle/>
            <a:p>
              <a:pPr>
                <a:lnSpc>
                  <a:spcPct val="100000"/>
                </a:lnSpc>
                <a:tabLst>
                  <a:tab pos="0" algn="l"/>
                </a:tabLst>
              </a:pPr>
              <a:r>
                <a:rPr lang="en-US" sz="1400" b="0" i="1" u="none" strike="noStrike">
                  <a:solidFill>
                    <a:srgbClr val="7F7F7F"/>
                  </a:solidFill>
                  <a:effectLst/>
                  <a:uFillTx/>
                  <a:latin typeface="Calibri"/>
                  <a:ea typeface="Calibri"/>
                </a:rPr>
                <a:t>Столбец результатов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  <xdr:cxnSp macro="">
          <xdr:nvCxnSpPr>
            <xdr:cNvPr id="54" name="Shape 27">
              <a:extLst>
                <a:ext uri="{FF2B5EF4-FFF2-40B4-BE49-F238E27FC236}">
                  <a16:creationId xmlns:a16="http://schemas.microsoft.com/office/drawing/2014/main" id="{00000000-0008-0000-1900-000036000000}"/>
                </a:ext>
              </a:extLst>
            </xdr:cNvPr>
            <xdr:cNvCxnSpPr/>
          </xdr:nvCxnSpPr>
          <xdr:spPr>
            <a:xfrm>
              <a:off x="2049480" y="3221280"/>
              <a:ext cx="1592640" cy="360"/>
            </a:xfrm>
            <a:prstGeom prst="straightConnector1">
              <a:avLst/>
            </a:prstGeom>
            <a:ln w="38100">
              <a:solidFill>
                <a:srgbClr val="FF6E40"/>
              </a:solidFill>
              <a:round/>
              <a:tailEnd type="triangle" w="med" len="med"/>
            </a:ln>
          </xdr:spPr>
        </xdr:cxnSp>
      </xdr:grpSp>
    </xdr:grpSp>
    <xdr:clientData/>
  </xdr:twoCellAnchor>
  <xdr:twoCellAnchor editAs="oneCell">
    <xdr:from>
      <xdr:col>6</xdr:col>
      <xdr:colOff>76320</xdr:colOff>
      <xdr:row>5</xdr:row>
      <xdr:rowOff>56880</xdr:rowOff>
    </xdr:from>
    <xdr:to>
      <xdr:col>7</xdr:col>
      <xdr:colOff>166320</xdr:colOff>
      <xdr:row>10</xdr:row>
      <xdr:rowOff>190440</xdr:rowOff>
    </xdr:to>
    <xdr:grpSp>
      <xdr:nvGrpSpPr>
        <xdr:cNvPr id="55" name="Shape 2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GrpSpPr/>
      </xdr:nvGrpSpPr>
      <xdr:grpSpPr>
        <a:xfrm>
          <a:off x="5882760" y="1070340"/>
          <a:ext cx="1210140" cy="1040340"/>
          <a:chOff x="6046560" y="1085760"/>
          <a:chExt cx="1238040" cy="1085760"/>
        </a:xfrm>
      </xdr:grpSpPr>
      <xdr:grpSp>
        <xdr:nvGrpSpPr>
          <xdr:cNvPr id="56" name="Shape 29">
            <a:extLst>
              <a:ext uri="{FF2B5EF4-FFF2-40B4-BE49-F238E27FC236}">
                <a16:creationId xmlns:a16="http://schemas.microsoft.com/office/drawing/2014/main" id="{00000000-0008-0000-1900-000038000000}"/>
              </a:ext>
            </a:extLst>
          </xdr:cNvPr>
          <xdr:cNvGrpSpPr/>
        </xdr:nvGrpSpPr>
        <xdr:grpSpPr>
          <a:xfrm>
            <a:off x="6046560" y="1085760"/>
            <a:ext cx="1238040" cy="1085760"/>
            <a:chOff x="6046560" y="1085760"/>
            <a:chExt cx="1238040" cy="1085760"/>
          </a:xfrm>
        </xdr:grpSpPr>
        <xdr:sp macro="" textlink="">
          <xdr:nvSpPr>
            <xdr:cNvPr id="57" name="Shape 12">
              <a:extLst>
                <a:ext uri="{FF2B5EF4-FFF2-40B4-BE49-F238E27FC236}">
                  <a16:creationId xmlns:a16="http://schemas.microsoft.com/office/drawing/2014/main" id="{00000000-0008-0000-1900-000039000000}"/>
                </a:ext>
              </a:extLst>
            </xdr:cNvPr>
            <xdr:cNvSpPr/>
          </xdr:nvSpPr>
          <xdr:spPr>
            <a:xfrm>
              <a:off x="6046560" y="1086120"/>
              <a:ext cx="1238040" cy="108540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sp macro="" textlink="">
          <xdr:nvSpPr>
            <xdr:cNvPr id="58" name="Shape 30">
              <a:extLst>
                <a:ext uri="{FF2B5EF4-FFF2-40B4-BE49-F238E27FC236}">
                  <a16:creationId xmlns:a16="http://schemas.microsoft.com/office/drawing/2014/main" id="{00000000-0008-0000-1900-00003A000000}"/>
                </a:ext>
              </a:extLst>
            </xdr:cNvPr>
            <xdr:cNvSpPr/>
          </xdr:nvSpPr>
          <xdr:spPr>
            <a:xfrm>
              <a:off x="6046560" y="1445760"/>
              <a:ext cx="1238040" cy="725760"/>
            </a:xfrm>
            <a:prstGeom prst="rect">
              <a:avLst/>
            </a:prstGeom>
            <a:solidFill>
              <a:srgbClr val="FFFFFF"/>
            </a:solidFill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anchor="t">
              <a:noAutofit/>
            </a:bodyPr>
            <a:lstStyle/>
            <a:p>
              <a:pPr>
                <a:lnSpc>
                  <a:spcPct val="100000"/>
                </a:lnSpc>
                <a:tabLst>
                  <a:tab pos="0" algn="l"/>
                </a:tabLst>
              </a:pPr>
              <a:r>
                <a:rPr lang="en-US" sz="1400" b="0" i="1" u="none" strike="noStrike">
                  <a:solidFill>
                    <a:srgbClr val="7F7F7F"/>
                  </a:solidFill>
                  <a:effectLst/>
                  <a:uFillTx/>
                  <a:latin typeface="Calibri"/>
                  <a:ea typeface="Calibri"/>
                </a:rPr>
                <a:t>Искомое значение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  <xdr:cxnSp macro="">
          <xdr:nvCxnSpPr>
            <xdr:cNvPr id="59" name="Shape 31">
              <a:extLst>
                <a:ext uri="{FF2B5EF4-FFF2-40B4-BE49-F238E27FC236}">
                  <a16:creationId xmlns:a16="http://schemas.microsoft.com/office/drawing/2014/main" id="{00000000-0008-0000-1900-00003B000000}"/>
                </a:ext>
              </a:extLst>
            </xdr:cNvPr>
            <xdr:cNvCxnSpPr/>
          </xdr:nvCxnSpPr>
          <xdr:spPr>
            <a:xfrm flipV="1">
              <a:off x="6546240" y="1085760"/>
              <a:ext cx="360" cy="352080"/>
            </a:xfrm>
            <a:prstGeom prst="straightConnector1">
              <a:avLst/>
            </a:prstGeom>
            <a:ln w="38100">
              <a:solidFill>
                <a:srgbClr val="FF6E40"/>
              </a:solidFill>
              <a:round/>
              <a:tailEnd type="triangle" w="med" len="med"/>
            </a:ln>
          </xdr:spPr>
        </xdr:cxnSp>
      </xdr:grpSp>
    </xdr:grpSp>
    <xdr:clientData/>
  </xdr:twoCellAnchor>
  <xdr:twoCellAnchor editAs="oneCell">
    <xdr:from>
      <xdr:col>7</xdr:col>
      <xdr:colOff>266760</xdr:colOff>
      <xdr:row>5</xdr:row>
      <xdr:rowOff>66600</xdr:rowOff>
    </xdr:from>
    <xdr:to>
      <xdr:col>8</xdr:col>
      <xdr:colOff>350280</xdr:colOff>
      <xdr:row>11</xdr:row>
      <xdr:rowOff>37800</xdr:rowOff>
    </xdr:to>
    <xdr:grpSp>
      <xdr:nvGrpSpPr>
        <xdr:cNvPr id="60" name="Shape 2">
          <a:extLst>
            <a:ext uri="{FF2B5EF4-FFF2-40B4-BE49-F238E27FC236}">
              <a16:creationId xmlns:a16="http://schemas.microsoft.com/office/drawing/2014/main" id="{00000000-0008-0000-1900-00003C000000}"/>
            </a:ext>
          </a:extLst>
        </xdr:cNvPr>
        <xdr:cNvGrpSpPr/>
      </xdr:nvGrpSpPr>
      <xdr:grpSpPr>
        <a:xfrm>
          <a:off x="7193340" y="1080060"/>
          <a:ext cx="1317960" cy="1068480"/>
          <a:chOff x="7385040" y="1095480"/>
          <a:chExt cx="1352160" cy="1114200"/>
        </a:xfrm>
      </xdr:grpSpPr>
      <xdr:grpSp>
        <xdr:nvGrpSpPr>
          <xdr:cNvPr id="61" name="Shape 32">
            <a:extLst>
              <a:ext uri="{FF2B5EF4-FFF2-40B4-BE49-F238E27FC236}">
                <a16:creationId xmlns:a16="http://schemas.microsoft.com/office/drawing/2014/main" id="{00000000-0008-0000-1900-00003D000000}"/>
              </a:ext>
            </a:extLst>
          </xdr:cNvPr>
          <xdr:cNvGrpSpPr/>
        </xdr:nvGrpSpPr>
        <xdr:grpSpPr>
          <a:xfrm>
            <a:off x="7385040" y="1095480"/>
            <a:ext cx="1352160" cy="1114200"/>
            <a:chOff x="7385040" y="1095480"/>
            <a:chExt cx="1352160" cy="1114200"/>
          </a:xfrm>
        </xdr:grpSpPr>
        <xdr:sp macro="" textlink="">
          <xdr:nvSpPr>
            <xdr:cNvPr id="62" name="Shape 12">
              <a:extLst>
                <a:ext uri="{FF2B5EF4-FFF2-40B4-BE49-F238E27FC236}">
                  <a16:creationId xmlns:a16="http://schemas.microsoft.com/office/drawing/2014/main" id="{00000000-0008-0000-1900-00003E000000}"/>
                </a:ext>
              </a:extLst>
            </xdr:cNvPr>
            <xdr:cNvSpPr/>
          </xdr:nvSpPr>
          <xdr:spPr>
            <a:xfrm>
              <a:off x="7385040" y="1095480"/>
              <a:ext cx="1352160" cy="111420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</xdr:sp>
        <xdr:sp macro="" textlink="">
          <xdr:nvSpPr>
            <xdr:cNvPr id="63" name="Shape 33">
              <a:extLst>
                <a:ext uri="{FF2B5EF4-FFF2-40B4-BE49-F238E27FC236}">
                  <a16:creationId xmlns:a16="http://schemas.microsoft.com/office/drawing/2014/main" id="{00000000-0008-0000-1900-00003F000000}"/>
                </a:ext>
              </a:extLst>
            </xdr:cNvPr>
            <xdr:cNvSpPr/>
          </xdr:nvSpPr>
          <xdr:spPr>
            <a:xfrm>
              <a:off x="7385040" y="1485360"/>
              <a:ext cx="1352160" cy="723960"/>
            </a:xfrm>
            <a:prstGeom prst="rect">
              <a:avLst/>
            </a:prstGeom>
            <a:solidFill>
              <a:srgbClr val="FFFFFF"/>
            </a:solidFill>
            <a:ln w="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anchor="t">
              <a:noAutofit/>
            </a:bodyPr>
            <a:lstStyle/>
            <a:p>
              <a:pPr>
                <a:lnSpc>
                  <a:spcPct val="100000"/>
                </a:lnSpc>
                <a:tabLst>
                  <a:tab pos="0" algn="l"/>
                </a:tabLst>
              </a:pPr>
              <a:r>
                <a:rPr lang="en-US" sz="1400" b="0" i="1" u="none" strike="noStrike">
                  <a:solidFill>
                    <a:srgbClr val="7F7F7F"/>
                  </a:solidFill>
                  <a:effectLst/>
                  <a:uFillTx/>
                  <a:latin typeface="Calibri"/>
                  <a:ea typeface="Calibri"/>
                </a:rPr>
                <a:t>Результат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  <xdr:cxnSp macro="">
          <xdr:nvCxnSpPr>
            <xdr:cNvPr id="64" name="Shape 34">
              <a:extLst>
                <a:ext uri="{FF2B5EF4-FFF2-40B4-BE49-F238E27FC236}">
                  <a16:creationId xmlns:a16="http://schemas.microsoft.com/office/drawing/2014/main" id="{00000000-0008-0000-1900-000040000000}"/>
                </a:ext>
              </a:extLst>
            </xdr:cNvPr>
            <xdr:cNvCxnSpPr/>
          </xdr:nvCxnSpPr>
          <xdr:spPr>
            <a:xfrm flipV="1">
              <a:off x="7862040" y="1095480"/>
              <a:ext cx="360" cy="350640"/>
            </a:xfrm>
            <a:prstGeom prst="straightConnector1">
              <a:avLst/>
            </a:prstGeom>
            <a:ln w="38100">
              <a:solidFill>
                <a:srgbClr val="FF6E40"/>
              </a:solidFill>
              <a:round/>
              <a:tailEnd type="triangle" w="med" len="med"/>
            </a:ln>
          </xdr:spPr>
        </xdr:cxnSp>
      </xdr:grp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65" name="Shape 5">
          <a:extLst>
            <a:ext uri="{FF2B5EF4-FFF2-40B4-BE49-F238E27FC236}">
              <a16:creationId xmlns:a16="http://schemas.microsoft.com/office/drawing/2014/main" id="{00000000-0008-0000-1900-000041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1863360</xdr:colOff>
      <xdr:row>2</xdr:row>
      <xdr:rowOff>121680</xdr:rowOff>
    </xdr:from>
    <xdr:to>
      <xdr:col>10</xdr:col>
      <xdr:colOff>505080</xdr:colOff>
      <xdr:row>9</xdr:row>
      <xdr:rowOff>168840</xdr:rowOff>
    </xdr:to>
    <xdr:sp macro="" textlink="">
      <xdr:nvSpPr>
        <xdr:cNvPr id="66" name="Shape 35">
          <a:extLst>
            <a:ext uri="{FF2B5EF4-FFF2-40B4-BE49-F238E27FC236}">
              <a16:creationId xmlns:a16="http://schemas.microsoft.com/office/drawing/2014/main" id="{00000000-0008-0000-1A00-000042000000}"/>
            </a:ext>
          </a:extLst>
        </xdr:cNvPr>
        <xdr:cNvSpPr/>
      </xdr:nvSpPr>
      <xdr:spPr>
        <a:xfrm>
          <a:off x="7008840" y="562320"/>
          <a:ext cx="3152520" cy="1380600"/>
        </a:xfrm>
        <a:prstGeom prst="roundRect">
          <a:avLst>
            <a:gd name="adj" fmla="val 4637"/>
          </a:avLst>
        </a:prstGeom>
        <a:solidFill>
          <a:srgbClr val="FFFFCC"/>
        </a:solidFill>
        <a:ln w="25400">
          <a:solidFill>
            <a:srgbClr val="000000"/>
          </a:solidFill>
          <a:round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1" u="none" strike="noStrike">
              <a:solidFill>
                <a:srgbClr val="FF0000"/>
              </a:solidFill>
              <a:effectLst/>
              <a:uFillTx/>
              <a:latin typeface="Calibri"/>
              <a:ea typeface="Calibri"/>
            </a:rPr>
            <a:t>ЗАДАНИЕ: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По сумме продаж и количеству найдите среднюю цену продажи. Замените ошибки  с помощью функции </a:t>
          </a: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ЕСЛИОШИБКА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67" name="Shape 5">
          <a:extLst>
            <a:ext uri="{FF2B5EF4-FFF2-40B4-BE49-F238E27FC236}">
              <a16:creationId xmlns:a16="http://schemas.microsoft.com/office/drawing/2014/main" id="{00000000-0008-0000-1A00-000043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495360</xdr:colOff>
      <xdr:row>1</xdr:row>
      <xdr:rowOff>190440</xdr:rowOff>
    </xdr:from>
    <xdr:to>
      <xdr:col>8</xdr:col>
      <xdr:colOff>253440</xdr:colOff>
      <xdr:row>4</xdr:row>
      <xdr:rowOff>140040</xdr:rowOff>
    </xdr:to>
    <xdr:sp macro="" textlink="">
      <xdr:nvSpPr>
        <xdr:cNvPr id="68" name="Shape 36">
          <a:extLst>
            <a:ext uri="{FF2B5EF4-FFF2-40B4-BE49-F238E27FC236}">
              <a16:creationId xmlns:a16="http://schemas.microsoft.com/office/drawing/2014/main" id="{00000000-0008-0000-1B00-000044000000}"/>
            </a:ext>
          </a:extLst>
        </xdr:cNvPr>
        <xdr:cNvSpPr/>
      </xdr:nvSpPr>
      <xdr:spPr>
        <a:xfrm>
          <a:off x="6325200" y="380880"/>
          <a:ext cx="2809440" cy="5806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0" i="1" u="none" strike="noStrike">
              <a:solidFill>
                <a:srgbClr val="7F7F7F"/>
              </a:solidFill>
              <a:effectLst/>
              <a:uFillTx/>
              <a:latin typeface="Calibri"/>
              <a:ea typeface="Calibri"/>
            </a:rPr>
            <a:t>Высота Шанхайской башни =</a:t>
          </a:r>
          <a:endParaRPr lang="en-US" sz="14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0" i="1" u="none" strike="noStrike">
              <a:solidFill>
                <a:srgbClr val="7F7F7F"/>
              </a:solidFill>
              <a:effectLst/>
              <a:uFillTx/>
              <a:latin typeface="Calibri"/>
              <a:ea typeface="Calibri"/>
            </a:rPr>
            <a:t>4 ряд, 2 столбец</a:t>
          </a:r>
          <a:endParaRPr lang="en-US" sz="14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182460</xdr:rowOff>
    </xdr:to>
    <xdr:sp macro="" textlink="">
      <xdr:nvSpPr>
        <xdr:cNvPr id="69" name="Shape 5">
          <a:extLst>
            <a:ext uri="{FF2B5EF4-FFF2-40B4-BE49-F238E27FC236}">
              <a16:creationId xmlns:a16="http://schemas.microsoft.com/office/drawing/2014/main" id="{00000000-0008-0000-1B00-000045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419040</xdr:colOff>
      <xdr:row>11</xdr:row>
      <xdr:rowOff>130680</xdr:rowOff>
    </xdr:from>
    <xdr:to>
      <xdr:col>4</xdr:col>
      <xdr:colOff>625680</xdr:colOff>
      <xdr:row>14</xdr:row>
      <xdr:rowOff>111600</xdr:rowOff>
    </xdr:to>
    <xdr:sp macro="" textlink="">
      <xdr:nvSpPr>
        <xdr:cNvPr id="70" name="Shape 37">
          <a:extLst>
            <a:ext uri="{FF2B5EF4-FFF2-40B4-BE49-F238E27FC236}">
              <a16:creationId xmlns:a16="http://schemas.microsoft.com/office/drawing/2014/main" id="{00000000-0008-0000-1C00-000046000000}"/>
            </a:ext>
          </a:extLst>
        </xdr:cNvPr>
        <xdr:cNvSpPr/>
      </xdr:nvSpPr>
      <xdr:spPr>
        <a:xfrm>
          <a:off x="2432520" y="2286000"/>
          <a:ext cx="2018880" cy="55224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0" i="1" u="none" strike="noStrike">
              <a:solidFill>
                <a:srgbClr val="7F7F7F"/>
              </a:solidFill>
              <a:effectLst/>
              <a:uFillTx/>
              <a:latin typeface="Calibri"/>
              <a:ea typeface="Calibri"/>
            </a:rPr>
            <a:t>Поиск искомого значения</a:t>
          </a:r>
          <a:endParaRPr lang="en-US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304560</xdr:colOff>
      <xdr:row>8</xdr:row>
      <xdr:rowOff>16200</xdr:rowOff>
    </xdr:from>
    <xdr:to>
      <xdr:col>2</xdr:col>
      <xdr:colOff>866520</xdr:colOff>
      <xdr:row>8</xdr:row>
      <xdr:rowOff>16200</xdr:rowOff>
    </xdr:to>
    <xdr:grpSp>
      <xdr:nvGrpSpPr>
        <xdr:cNvPr id="71" name="Shape 2">
          <a:extLst>
            <a:ext uri="{FF2B5EF4-FFF2-40B4-BE49-F238E27FC236}">
              <a16:creationId xmlns:a16="http://schemas.microsoft.com/office/drawing/2014/main" id="{00000000-0008-0000-1C00-000047000000}"/>
            </a:ext>
          </a:extLst>
        </xdr:cNvPr>
        <xdr:cNvGrpSpPr/>
      </xdr:nvGrpSpPr>
      <xdr:grpSpPr>
        <a:xfrm>
          <a:off x="2262900" y="1578300"/>
          <a:ext cx="561960" cy="0"/>
          <a:chOff x="2318040" y="1599840"/>
          <a:chExt cx="561960" cy="0"/>
        </a:xfrm>
      </xdr:grpSpPr>
      <xdr:cxnSp macro="">
        <xdr:nvCxnSpPr>
          <xdr:cNvPr id="72" name="Shape 38">
            <a:extLst>
              <a:ext uri="{FF2B5EF4-FFF2-40B4-BE49-F238E27FC236}">
                <a16:creationId xmlns:a16="http://schemas.microsoft.com/office/drawing/2014/main" id="{00000000-0008-0000-1C00-000048000000}"/>
              </a:ext>
            </a:extLst>
          </xdr:cNvPr>
          <xdr:cNvCxnSpPr/>
        </xdr:nvCxnSpPr>
        <xdr:spPr>
          <a:xfrm flipH="1">
            <a:off x="2318040" y="1599840"/>
            <a:ext cx="562320" cy="360"/>
          </a:xfrm>
          <a:prstGeom prst="straightConnector1">
            <a:avLst/>
          </a:prstGeom>
          <a:ln w="38100">
            <a:solidFill>
              <a:srgbClr val="FF6E40"/>
            </a:solidFill>
            <a:round/>
            <a:tailEnd type="triangle" w="med" len="med"/>
          </a:ln>
        </xdr:spPr>
      </xdr:cxn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73" name="Shape 5">
          <a:extLst>
            <a:ext uri="{FF2B5EF4-FFF2-40B4-BE49-F238E27FC236}">
              <a16:creationId xmlns:a16="http://schemas.microsoft.com/office/drawing/2014/main" id="{00000000-0008-0000-1C00-000049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624960</xdr:colOff>
      <xdr:row>2</xdr:row>
      <xdr:rowOff>121680</xdr:rowOff>
    </xdr:from>
    <xdr:to>
      <xdr:col>9</xdr:col>
      <xdr:colOff>6120</xdr:colOff>
      <xdr:row>9</xdr:row>
      <xdr:rowOff>111960</xdr:rowOff>
    </xdr:to>
    <xdr:sp macro="" textlink="">
      <xdr:nvSpPr>
        <xdr:cNvPr id="74" name="Shape 39">
          <a:extLst>
            <a:ext uri="{FF2B5EF4-FFF2-40B4-BE49-F238E27FC236}">
              <a16:creationId xmlns:a16="http://schemas.microsoft.com/office/drawing/2014/main" id="{00000000-0008-0000-1D00-00004A000000}"/>
            </a:ext>
          </a:extLst>
        </xdr:cNvPr>
        <xdr:cNvSpPr/>
      </xdr:nvSpPr>
      <xdr:spPr>
        <a:xfrm>
          <a:off x="6454800" y="562320"/>
          <a:ext cx="3066840" cy="1323720"/>
        </a:xfrm>
        <a:prstGeom prst="roundRect">
          <a:avLst>
            <a:gd name="adj" fmla="val 4637"/>
          </a:avLst>
        </a:prstGeom>
        <a:solidFill>
          <a:srgbClr val="FFFFCC"/>
        </a:solidFill>
        <a:ln w="25400">
          <a:solidFill>
            <a:srgbClr val="000000"/>
          </a:solidFill>
          <a:round/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1" u="none" strike="noStrike">
              <a:solidFill>
                <a:srgbClr val="FF0000"/>
              </a:solidFill>
              <a:effectLst/>
              <a:uFillTx/>
              <a:latin typeface="Calibri"/>
              <a:ea typeface="Calibri"/>
            </a:rPr>
            <a:t>ЗАДАНИЕ: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С помощью функций </a:t>
          </a: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РАНГ 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присвойте данным башням места по убыванию их высоты. 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523440</xdr:colOff>
      <xdr:row>0</xdr:row>
      <xdr:rowOff>190080</xdr:rowOff>
    </xdr:to>
    <xdr:sp macro="" textlink="">
      <xdr:nvSpPr>
        <xdr:cNvPr id="75" name="Shape 5">
          <a:extLst>
            <a:ext uri="{FF2B5EF4-FFF2-40B4-BE49-F238E27FC236}">
              <a16:creationId xmlns:a16="http://schemas.microsoft.com/office/drawing/2014/main" id="{00000000-0008-0000-1D00-00004B000000}"/>
            </a:ext>
          </a:extLst>
        </xdr:cNvPr>
        <xdr:cNvSpPr/>
      </xdr:nvSpPr>
      <xdr:spPr>
        <a:xfrm>
          <a:off x="0" y="0"/>
          <a:ext cx="523440" cy="190080"/>
        </a:xfrm>
        <a:prstGeom prst="roundRect">
          <a:avLst>
            <a:gd name="adj" fmla="val 16667"/>
          </a:avLst>
        </a:prstGeom>
        <a:blipFill rotWithShape="0">
          <a:blip xmlns:r="http://schemas.openxmlformats.org/officeDocument/2006/relationships" r:embed="rId1"/>
          <a:srcRect/>
          <a:tile tx="0" ty="0" sx="29983" sy="29946" algn="tl"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0"/>
  <sheetViews>
    <sheetView zoomScaleNormal="100" workbookViewId="0">
      <selection activeCell="I6" sqref="I6"/>
    </sheetView>
  </sheetViews>
  <sheetFormatPr defaultColWidth="14.44140625" defaultRowHeight="15" customHeight="1" x14ac:dyDescent="0.3"/>
  <cols>
    <col min="1" max="1" width="8" customWidth="1"/>
    <col min="2" max="2" width="10.33203125" customWidth="1"/>
    <col min="3" max="8" width="9" customWidth="1"/>
    <col min="9" max="9" width="14" customWidth="1"/>
    <col min="10" max="26" width="9" customWidth="1"/>
  </cols>
  <sheetData>
    <row r="1" spans="2:9" ht="14.4" x14ac:dyDescent="0.3">
      <c r="B1" s="2" t="s">
        <v>0</v>
      </c>
    </row>
    <row r="2" spans="2:9" ht="22.2" x14ac:dyDescent="0.5">
      <c r="B2" s="3"/>
      <c r="F2" s="4" t="s">
        <v>1</v>
      </c>
    </row>
    <row r="3" spans="2:9" ht="14.4" x14ac:dyDescent="0.3">
      <c r="I3" s="5"/>
    </row>
    <row r="4" spans="2:9" ht="15.6" x14ac:dyDescent="0.3">
      <c r="F4" s="6" t="s">
        <v>2</v>
      </c>
      <c r="G4" s="6" t="s">
        <v>3</v>
      </c>
      <c r="H4" s="6" t="s">
        <v>4</v>
      </c>
      <c r="I4" s="6" t="s">
        <v>5</v>
      </c>
    </row>
    <row r="5" spans="2:9" ht="14.4" x14ac:dyDescent="0.3">
      <c r="F5" s="7">
        <v>1999</v>
      </c>
      <c r="G5" s="7">
        <v>1</v>
      </c>
      <c r="H5" s="7">
        <v>1</v>
      </c>
      <c r="I5" s="8">
        <f t="shared" ref="I5:I15" si="0">DATE(F5,G5,H5)</f>
        <v>36161</v>
      </c>
    </row>
    <row r="6" spans="2:9" ht="14.4" x14ac:dyDescent="0.3">
      <c r="F6" s="7">
        <v>2000</v>
      </c>
      <c r="G6" s="7">
        <v>1</v>
      </c>
      <c r="H6" s="7">
        <v>1</v>
      </c>
      <c r="I6" s="8">
        <f t="shared" si="0"/>
        <v>36526</v>
      </c>
    </row>
    <row r="7" spans="2:9" ht="14.4" x14ac:dyDescent="0.3">
      <c r="F7" s="7">
        <v>2005</v>
      </c>
      <c r="G7" s="7">
        <v>2</v>
      </c>
      <c r="H7" s="7">
        <v>12</v>
      </c>
      <c r="I7" s="8">
        <f t="shared" si="0"/>
        <v>38395</v>
      </c>
    </row>
    <row r="8" spans="2:9" ht="14.4" x14ac:dyDescent="0.3">
      <c r="F8" s="7">
        <v>2010</v>
      </c>
      <c r="G8" s="7">
        <v>10</v>
      </c>
      <c r="H8" s="7">
        <v>22</v>
      </c>
      <c r="I8" s="8">
        <f t="shared" si="0"/>
        <v>40473</v>
      </c>
    </row>
    <row r="9" spans="2:9" ht="14.4" x14ac:dyDescent="0.3">
      <c r="F9" s="7">
        <v>2018</v>
      </c>
      <c r="G9" s="7">
        <v>6</v>
      </c>
      <c r="H9" s="7">
        <v>18</v>
      </c>
      <c r="I9" s="8">
        <f t="shared" si="0"/>
        <v>43269</v>
      </c>
    </row>
    <row r="10" spans="2:9" ht="14.4" x14ac:dyDescent="0.3">
      <c r="F10" s="7">
        <v>2022</v>
      </c>
      <c r="G10" s="7">
        <v>8</v>
      </c>
      <c r="H10" s="7">
        <v>15</v>
      </c>
      <c r="I10" s="8">
        <f t="shared" si="0"/>
        <v>44788</v>
      </c>
    </row>
    <row r="11" spans="2:9" ht="14.4" x14ac:dyDescent="0.3">
      <c r="F11" s="7">
        <v>2026</v>
      </c>
      <c r="G11" s="7">
        <v>9</v>
      </c>
      <c r="H11" s="7">
        <v>4</v>
      </c>
      <c r="I11" s="8">
        <f t="shared" si="0"/>
        <v>46269</v>
      </c>
    </row>
    <row r="12" spans="2:9" ht="14.4" x14ac:dyDescent="0.3">
      <c r="F12" s="7">
        <v>2030</v>
      </c>
      <c r="G12" s="7">
        <v>12</v>
      </c>
      <c r="H12" s="7">
        <v>30</v>
      </c>
      <c r="I12" s="8">
        <f t="shared" si="0"/>
        <v>47847</v>
      </c>
    </row>
    <row r="13" spans="2:9" ht="14.4" x14ac:dyDescent="0.3">
      <c r="F13" s="7">
        <v>2045</v>
      </c>
      <c r="G13" s="7">
        <v>3</v>
      </c>
      <c r="H13" s="7">
        <v>28</v>
      </c>
      <c r="I13" s="8">
        <f t="shared" si="0"/>
        <v>53049</v>
      </c>
    </row>
    <row r="14" spans="2:9" ht="14.4" x14ac:dyDescent="0.3">
      <c r="F14" s="7">
        <v>2050</v>
      </c>
      <c r="G14" s="7">
        <v>7</v>
      </c>
      <c r="H14" s="7">
        <v>3</v>
      </c>
      <c r="I14" s="8">
        <f t="shared" si="0"/>
        <v>54972</v>
      </c>
    </row>
    <row r="15" spans="2:9" ht="14.4" x14ac:dyDescent="0.3">
      <c r="F15" s="7">
        <v>2099</v>
      </c>
      <c r="G15" s="7">
        <v>11</v>
      </c>
      <c r="H15" s="7">
        <v>10</v>
      </c>
      <c r="I15" s="8">
        <f t="shared" si="0"/>
        <v>72999</v>
      </c>
    </row>
    <row r="16" spans="2:9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2" width="14" customWidth="1"/>
    <col min="3" max="5" width="13.6640625" customWidth="1"/>
    <col min="6" max="6" width="11.33203125" customWidth="1"/>
    <col min="7" max="7" width="9" customWidth="1"/>
    <col min="8" max="8" width="11.33203125" customWidth="1"/>
    <col min="9" max="26" width="9" customWidth="1"/>
  </cols>
  <sheetData>
    <row r="1" spans="2:8" ht="14.4" x14ac:dyDescent="0.3"/>
    <row r="2" spans="2:8" ht="21" x14ac:dyDescent="0.4">
      <c r="B2" s="4" t="s">
        <v>6</v>
      </c>
      <c r="C2" s="9" t="s">
        <v>7</v>
      </c>
      <c r="D2" s="10" t="s">
        <v>8</v>
      </c>
    </row>
    <row r="3" spans="2:8" ht="14.4" x14ac:dyDescent="0.3">
      <c r="C3" s="5"/>
      <c r="D3" s="5"/>
      <c r="E3" s="5"/>
    </row>
    <row r="4" spans="2:8" ht="15.6" x14ac:dyDescent="0.3">
      <c r="B4" s="11" t="s">
        <v>9</v>
      </c>
      <c r="C4" s="11" t="s">
        <v>4</v>
      </c>
      <c r="D4" s="11" t="s">
        <v>3</v>
      </c>
      <c r="E4" s="11" t="s">
        <v>2</v>
      </c>
    </row>
    <row r="5" spans="2:8" ht="14.4" x14ac:dyDescent="0.3">
      <c r="B5" s="12">
        <v>27670</v>
      </c>
      <c r="C5" s="13">
        <f t="shared" ref="C5:C14" si="0">DAY(B5)</f>
        <v>3</v>
      </c>
      <c r="D5" s="13">
        <f t="shared" ref="D5:D14" si="1">MONTH(B5)</f>
        <v>10</v>
      </c>
      <c r="E5" s="13">
        <f t="shared" ref="E5:E14" si="2">YEAR(B5)</f>
        <v>1975</v>
      </c>
      <c r="H5" s="14"/>
    </row>
    <row r="6" spans="2:8" ht="14.4" x14ac:dyDescent="0.3">
      <c r="B6" s="12">
        <v>33108</v>
      </c>
      <c r="C6" s="13">
        <f t="shared" si="0"/>
        <v>23</v>
      </c>
      <c r="D6" s="13">
        <f t="shared" si="1"/>
        <v>8</v>
      </c>
      <c r="E6" s="13">
        <f t="shared" si="2"/>
        <v>1990</v>
      </c>
      <c r="H6" s="14"/>
    </row>
    <row r="7" spans="2:8" ht="14.4" x14ac:dyDescent="0.3">
      <c r="B7" s="12">
        <v>36526</v>
      </c>
      <c r="C7" s="13">
        <f t="shared" si="0"/>
        <v>1</v>
      </c>
      <c r="D7" s="13">
        <f t="shared" si="1"/>
        <v>1</v>
      </c>
      <c r="E7" s="13">
        <f t="shared" si="2"/>
        <v>2000</v>
      </c>
      <c r="H7" s="14"/>
    </row>
    <row r="8" spans="2:8" ht="14.4" x14ac:dyDescent="0.3">
      <c r="B8" s="12">
        <v>45285</v>
      </c>
      <c r="C8" s="13">
        <f t="shared" si="0"/>
        <v>25</v>
      </c>
      <c r="D8" s="13">
        <f t="shared" si="1"/>
        <v>12</v>
      </c>
      <c r="E8" s="13">
        <f t="shared" si="2"/>
        <v>2023</v>
      </c>
      <c r="H8" s="14"/>
    </row>
    <row r="9" spans="2:8" ht="14.4" x14ac:dyDescent="0.3">
      <c r="B9" s="12">
        <v>45823</v>
      </c>
      <c r="C9" s="13">
        <f t="shared" si="0"/>
        <v>15</v>
      </c>
      <c r="D9" s="13">
        <f t="shared" si="1"/>
        <v>6</v>
      </c>
      <c r="E9" s="13">
        <f t="shared" si="2"/>
        <v>2025</v>
      </c>
      <c r="H9" s="14"/>
    </row>
    <row r="10" spans="2:8" ht="14.4" x14ac:dyDescent="0.3">
      <c r="B10" s="12">
        <v>46143</v>
      </c>
      <c r="C10" s="13">
        <f t="shared" si="0"/>
        <v>1</v>
      </c>
      <c r="D10" s="13">
        <f t="shared" si="1"/>
        <v>5</v>
      </c>
      <c r="E10" s="13">
        <f t="shared" si="2"/>
        <v>2026</v>
      </c>
      <c r="H10" s="14"/>
    </row>
    <row r="11" spans="2:8" ht="14.4" x14ac:dyDescent="0.3">
      <c r="B11" s="12">
        <v>47027</v>
      </c>
      <c r="C11" s="13">
        <f t="shared" si="0"/>
        <v>1</v>
      </c>
      <c r="D11" s="13">
        <f t="shared" si="1"/>
        <v>10</v>
      </c>
      <c r="E11" s="13">
        <f t="shared" si="2"/>
        <v>2028</v>
      </c>
      <c r="H11" s="14"/>
    </row>
    <row r="12" spans="2:8" ht="14.4" x14ac:dyDescent="0.3">
      <c r="B12" s="12">
        <v>45657</v>
      </c>
      <c r="C12" s="13">
        <f t="shared" si="0"/>
        <v>31</v>
      </c>
      <c r="D12" s="13">
        <f t="shared" si="1"/>
        <v>12</v>
      </c>
      <c r="E12" s="13">
        <f t="shared" si="2"/>
        <v>2024</v>
      </c>
      <c r="H12" s="14"/>
    </row>
    <row r="13" spans="2:8" ht="14.4" x14ac:dyDescent="0.3">
      <c r="B13" s="12">
        <v>45350</v>
      </c>
      <c r="C13" s="13">
        <f t="shared" si="0"/>
        <v>28</v>
      </c>
      <c r="D13" s="13">
        <f t="shared" si="1"/>
        <v>2</v>
      </c>
      <c r="E13" s="13">
        <f t="shared" si="2"/>
        <v>2024</v>
      </c>
      <c r="H13" s="14"/>
    </row>
    <row r="14" spans="2:8" ht="14.4" x14ac:dyDescent="0.3">
      <c r="B14" s="12">
        <v>47738</v>
      </c>
      <c r="C14" s="13">
        <f t="shared" si="0"/>
        <v>12</v>
      </c>
      <c r="D14" s="13">
        <f t="shared" si="1"/>
        <v>9</v>
      </c>
      <c r="E14" s="13">
        <f t="shared" si="2"/>
        <v>2030</v>
      </c>
    </row>
    <row r="15" spans="2:8" ht="14.4" x14ac:dyDescent="0.3"/>
    <row r="16" spans="2:8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2"/>
  <sheetViews>
    <sheetView zoomScaleNormal="100" workbookViewId="0">
      <selection activeCell="C21" sqref="C21"/>
    </sheetView>
  </sheetViews>
  <sheetFormatPr defaultColWidth="14.44140625" defaultRowHeight="15" customHeight="1" x14ac:dyDescent="0.3"/>
  <cols>
    <col min="1" max="1" width="9" customWidth="1"/>
    <col min="2" max="2" width="14.5546875" customWidth="1"/>
    <col min="3" max="3" width="34.109375" customWidth="1"/>
    <col min="4" max="5" width="9" customWidth="1"/>
    <col min="6" max="6" width="11.33203125" customWidth="1"/>
    <col min="7" max="7" width="9" customWidth="1"/>
    <col min="8" max="8" width="11.33203125" customWidth="1"/>
    <col min="9" max="26" width="9" customWidth="1"/>
  </cols>
  <sheetData>
    <row r="1" spans="2:8" ht="14.4" x14ac:dyDescent="0.3"/>
    <row r="2" spans="2:8" ht="21" x14ac:dyDescent="0.4">
      <c r="B2" s="4" t="s">
        <v>10</v>
      </c>
    </row>
    <row r="3" spans="2:8" ht="14.4" x14ac:dyDescent="0.3"/>
    <row r="4" spans="2:8" ht="15.6" x14ac:dyDescent="0.3">
      <c r="B4" s="11" t="s">
        <v>9</v>
      </c>
      <c r="C4" s="11" t="s">
        <v>11</v>
      </c>
    </row>
    <row r="5" spans="2:8" ht="14.4" x14ac:dyDescent="0.3">
      <c r="B5" s="8">
        <f ca="1">TODAY()</f>
        <v>46288</v>
      </c>
      <c r="C5" s="12" t="s">
        <v>12</v>
      </c>
      <c r="D5" s="5" t="s">
        <v>13</v>
      </c>
      <c r="H5" s="14"/>
    </row>
    <row r="6" spans="2:8" ht="14.4" x14ac:dyDescent="0.3">
      <c r="B6" s="8">
        <f ca="1">TODAY()-7</f>
        <v>46281</v>
      </c>
      <c r="C6" s="12" t="s">
        <v>14</v>
      </c>
      <c r="D6" s="5" t="s">
        <v>15</v>
      </c>
      <c r="H6" s="14"/>
    </row>
    <row r="7" spans="2:8" ht="14.4" x14ac:dyDescent="0.3">
      <c r="B7" s="8">
        <f ca="1">TODAY()+7</f>
        <v>46295</v>
      </c>
      <c r="C7" s="12" t="s">
        <v>16</v>
      </c>
      <c r="D7" s="5" t="s">
        <v>17</v>
      </c>
      <c r="H7" s="14"/>
    </row>
    <row r="8" spans="2:8" ht="14.4" x14ac:dyDescent="0.3">
      <c r="B8" s="8">
        <f ca="1">TODAY()+90</f>
        <v>46378</v>
      </c>
      <c r="C8" s="12" t="s">
        <v>18</v>
      </c>
      <c r="D8" s="5" t="s">
        <v>19</v>
      </c>
      <c r="H8" s="14"/>
    </row>
    <row r="9" spans="2:8" ht="14.4" x14ac:dyDescent="0.3">
      <c r="B9" s="8">
        <f ca="1">EDATE(TODAY(),3)</f>
        <v>46379</v>
      </c>
      <c r="C9" s="12" t="s">
        <v>20</v>
      </c>
      <c r="D9" s="5" t="s">
        <v>21</v>
      </c>
      <c r="H9" s="14"/>
    </row>
    <row r="10" spans="2:8" ht="14.4" x14ac:dyDescent="0.3">
      <c r="B10" s="8">
        <f ca="1">EDATE(TODAY(),12)</f>
        <v>46653</v>
      </c>
      <c r="C10" s="12" t="s">
        <v>22</v>
      </c>
      <c r="D10" s="5" t="s">
        <v>23</v>
      </c>
      <c r="H10" s="14"/>
    </row>
    <row r="11" spans="2:8" ht="14.4" x14ac:dyDescent="0.3">
      <c r="B11" s="8">
        <f ca="1">EDATE(TODAY(),-12)</f>
        <v>45923</v>
      </c>
      <c r="C11" s="12" t="s">
        <v>24</v>
      </c>
      <c r="D11" s="5" t="s">
        <v>25</v>
      </c>
      <c r="H11" s="14"/>
    </row>
    <row r="12" spans="2:8" ht="14.4" x14ac:dyDescent="0.3">
      <c r="B12" s="8">
        <f ca="1">EOMONTH(TODAY(),0)</f>
        <v>46295</v>
      </c>
      <c r="C12" s="12" t="s">
        <v>26</v>
      </c>
      <c r="D12" s="5" t="s">
        <v>27</v>
      </c>
      <c r="H12" s="14"/>
    </row>
    <row r="13" spans="2:8" ht="14.4" x14ac:dyDescent="0.3">
      <c r="B13" s="8">
        <f ca="1">EOMONTH(TODAY(),-1)+1</f>
        <v>46266</v>
      </c>
      <c r="C13" s="12" t="s">
        <v>28</v>
      </c>
      <c r="D13" s="5" t="s">
        <v>29</v>
      </c>
      <c r="H13" s="14"/>
    </row>
    <row r="14" spans="2:8" ht="14.4" x14ac:dyDescent="0.3">
      <c r="B14" s="15">
        <f ca="1">TODAY()+TIME(18,0,0)</f>
        <v>46288.75</v>
      </c>
      <c r="C14" s="16" t="s">
        <v>30</v>
      </c>
      <c r="D14" s="5" t="s">
        <v>31</v>
      </c>
    </row>
    <row r="15" spans="2:8" ht="14.4" x14ac:dyDescent="0.3">
      <c r="B15" s="15">
        <f ca="1">TODAY()+1+TIME(12,0,0)</f>
        <v>46289.5</v>
      </c>
      <c r="C15" s="16" t="s">
        <v>32</v>
      </c>
      <c r="D15" s="5" t="s">
        <v>33</v>
      </c>
    </row>
    <row r="16" spans="2:8" ht="14.4" x14ac:dyDescent="0.3"/>
    <row r="17" spans="2:4" ht="14.4" x14ac:dyDescent="0.3"/>
    <row r="18" spans="2:4" ht="14.4" x14ac:dyDescent="0.3"/>
    <row r="19" spans="2:4" ht="21" x14ac:dyDescent="0.4">
      <c r="B19" s="4" t="s">
        <v>34</v>
      </c>
    </row>
    <row r="20" spans="2:4" ht="15.6" x14ac:dyDescent="0.3">
      <c r="B20" s="11" t="s">
        <v>35</v>
      </c>
      <c r="C20" s="11" t="s">
        <v>11</v>
      </c>
    </row>
    <row r="21" spans="2:4" ht="14.4" x14ac:dyDescent="0.3">
      <c r="B21" s="8">
        <f ca="1">NOW()</f>
        <v>46288.630821643521</v>
      </c>
      <c r="C21" s="17" t="s">
        <v>36</v>
      </c>
      <c r="D21" s="18" t="s">
        <v>37</v>
      </c>
    </row>
    <row r="22" spans="2:4" ht="14.4" x14ac:dyDescent="0.3">
      <c r="C22" s="19"/>
    </row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0"/>
  <sheetViews>
    <sheetView zoomScaleNormal="100" workbookViewId="0">
      <selection activeCell="E16" sqref="E16"/>
    </sheetView>
  </sheetViews>
  <sheetFormatPr defaultColWidth="14.44140625" defaultRowHeight="15" customHeight="1" x14ac:dyDescent="0.3"/>
  <cols>
    <col min="1" max="1" width="9" customWidth="1"/>
    <col min="2" max="2" width="13.109375" customWidth="1"/>
    <col min="3" max="3" width="12.44140625" customWidth="1"/>
    <col min="4" max="4" width="8" customWidth="1"/>
    <col min="5" max="5" width="14.5546875" customWidth="1"/>
    <col min="6" max="7" width="9" customWidth="1"/>
    <col min="8" max="8" width="11.33203125" customWidth="1"/>
    <col min="9" max="9" width="9" customWidth="1"/>
    <col min="10" max="10" width="15.33203125" customWidth="1"/>
    <col min="11" max="26" width="9" customWidth="1"/>
  </cols>
  <sheetData>
    <row r="1" spans="2:10" ht="14.4" x14ac:dyDescent="0.3"/>
    <row r="2" spans="2:10" ht="21" x14ac:dyDescent="0.4">
      <c r="B2" s="4" t="s">
        <v>38</v>
      </c>
    </row>
    <row r="3" spans="2:10" ht="14.4" x14ac:dyDescent="0.3"/>
    <row r="4" spans="2:10" ht="15.6" x14ac:dyDescent="0.3">
      <c r="B4" s="11" t="s">
        <v>9</v>
      </c>
      <c r="C4" s="11" t="s">
        <v>39</v>
      </c>
      <c r="E4" s="11" t="s">
        <v>5</v>
      </c>
      <c r="J4" s="17"/>
    </row>
    <row r="5" spans="2:10" ht="14.4" x14ac:dyDescent="0.3">
      <c r="B5" s="12">
        <v>46784</v>
      </c>
      <c r="C5" s="7">
        <v>1</v>
      </c>
      <c r="E5" s="8">
        <f t="shared" ref="E5:E16" si="0">EDATE(B5,C5)</f>
        <v>46813</v>
      </c>
      <c r="F5" s="5" t="s">
        <v>40</v>
      </c>
      <c r="J5" s="14"/>
    </row>
    <row r="6" spans="2:10" ht="14.4" x14ac:dyDescent="0.3">
      <c r="B6" s="12">
        <v>46784</v>
      </c>
      <c r="C6" s="7">
        <v>2</v>
      </c>
      <c r="E6" s="8">
        <f t="shared" si="0"/>
        <v>46844</v>
      </c>
      <c r="F6" s="5" t="s">
        <v>41</v>
      </c>
      <c r="J6" s="14"/>
    </row>
    <row r="7" spans="2:10" ht="14.4" x14ac:dyDescent="0.3">
      <c r="B7" s="12">
        <v>46784</v>
      </c>
      <c r="C7" s="7">
        <v>3</v>
      </c>
      <c r="E7" s="8">
        <f t="shared" si="0"/>
        <v>46874</v>
      </c>
      <c r="F7" s="5" t="s">
        <v>42</v>
      </c>
      <c r="J7" s="14"/>
    </row>
    <row r="8" spans="2:10" ht="14.4" x14ac:dyDescent="0.3">
      <c r="B8" s="12">
        <v>46784</v>
      </c>
      <c r="C8" s="7">
        <v>-1</v>
      </c>
      <c r="E8" s="8">
        <f t="shared" si="0"/>
        <v>46753</v>
      </c>
      <c r="F8" s="5" t="s">
        <v>43</v>
      </c>
      <c r="J8" s="14"/>
    </row>
    <row r="9" spans="2:10" ht="14.4" x14ac:dyDescent="0.3">
      <c r="B9" s="12">
        <v>46784</v>
      </c>
      <c r="C9" s="7">
        <v>-2</v>
      </c>
      <c r="E9" s="8">
        <f t="shared" si="0"/>
        <v>46722</v>
      </c>
      <c r="F9" s="5" t="s">
        <v>44</v>
      </c>
      <c r="J9" s="14"/>
    </row>
    <row r="10" spans="2:10" ht="14.4" x14ac:dyDescent="0.3">
      <c r="B10" s="12">
        <v>46784</v>
      </c>
      <c r="C10" s="7">
        <v>-3</v>
      </c>
      <c r="E10" s="8">
        <f t="shared" si="0"/>
        <v>46692</v>
      </c>
      <c r="F10" s="5" t="s">
        <v>45</v>
      </c>
      <c r="J10" s="14"/>
    </row>
    <row r="11" spans="2:10" ht="14.4" x14ac:dyDescent="0.3">
      <c r="B11" s="12">
        <v>46783</v>
      </c>
      <c r="C11" s="7">
        <v>1</v>
      </c>
      <c r="E11" s="8">
        <f t="shared" si="0"/>
        <v>46812</v>
      </c>
      <c r="F11" s="5" t="s">
        <v>46</v>
      </c>
      <c r="J11" s="14"/>
    </row>
    <row r="12" spans="2:10" ht="14.4" x14ac:dyDescent="0.3">
      <c r="B12" s="12">
        <v>46827</v>
      </c>
      <c r="C12" s="7">
        <v>1.5</v>
      </c>
      <c r="E12" s="8">
        <f t="shared" si="0"/>
        <v>46858</v>
      </c>
      <c r="F12" s="5" t="s">
        <v>47</v>
      </c>
      <c r="J12" s="14"/>
    </row>
    <row r="13" spans="2:10" ht="14.4" x14ac:dyDescent="0.3">
      <c r="B13" s="12">
        <v>46827</v>
      </c>
      <c r="C13" s="7">
        <v>12</v>
      </c>
      <c r="E13" s="8">
        <f t="shared" si="0"/>
        <v>47192</v>
      </c>
      <c r="F13" s="5" t="s">
        <v>48</v>
      </c>
      <c r="J13" s="14"/>
    </row>
    <row r="14" spans="2:10" ht="14.4" x14ac:dyDescent="0.3">
      <c r="B14" s="12">
        <v>46827</v>
      </c>
      <c r="C14" s="7">
        <v>24</v>
      </c>
      <c r="E14" s="8">
        <f t="shared" si="0"/>
        <v>47557</v>
      </c>
      <c r="F14" s="5" t="s">
        <v>49</v>
      </c>
    </row>
    <row r="15" spans="2:10" ht="14.4" x14ac:dyDescent="0.3">
      <c r="B15" s="12">
        <v>46905</v>
      </c>
      <c r="C15" s="7">
        <v>120</v>
      </c>
      <c r="E15" s="8">
        <f t="shared" si="0"/>
        <v>50557</v>
      </c>
      <c r="F15" s="5" t="s">
        <v>50</v>
      </c>
    </row>
    <row r="16" spans="2:10" ht="14.4" x14ac:dyDescent="0.3">
      <c r="B16" s="12">
        <v>47011</v>
      </c>
      <c r="C16" s="7">
        <v>-60</v>
      </c>
      <c r="E16" s="8">
        <f t="shared" si="0"/>
        <v>45184</v>
      </c>
      <c r="F16" s="5" t="s">
        <v>51</v>
      </c>
    </row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0"/>
  <sheetViews>
    <sheetView zoomScaleNormal="100" workbookViewId="0"/>
  </sheetViews>
  <sheetFormatPr defaultColWidth="14.44140625" defaultRowHeight="15" customHeight="1" x14ac:dyDescent="0.3"/>
  <cols>
    <col min="1" max="1" width="9.109375" customWidth="1"/>
    <col min="2" max="2" width="14" customWidth="1"/>
    <col min="3" max="3" width="11.5546875" customWidth="1"/>
    <col min="4" max="4" width="14.33203125" customWidth="1"/>
    <col min="5" max="5" width="15.88671875" customWidth="1"/>
    <col min="6" max="6" width="16.6640625" customWidth="1"/>
    <col min="7" max="7" width="13.33203125" customWidth="1"/>
    <col min="8" max="8" width="9" customWidth="1"/>
    <col min="9" max="9" width="11.33203125" customWidth="1"/>
    <col min="10" max="26" width="9" customWidth="1"/>
  </cols>
  <sheetData>
    <row r="1" spans="2:10" ht="14.4" x14ac:dyDescent="0.3">
      <c r="J1" s="20"/>
    </row>
    <row r="2" spans="2:10" ht="21" x14ac:dyDescent="0.4">
      <c r="B2" s="4" t="s">
        <v>52</v>
      </c>
      <c r="C2" s="21" t="s">
        <v>53</v>
      </c>
      <c r="E2" s="21" t="s">
        <v>54</v>
      </c>
      <c r="F2" s="9" t="s">
        <v>55</v>
      </c>
    </row>
    <row r="3" spans="2:10" ht="14.4" x14ac:dyDescent="0.3">
      <c r="D3" s="5"/>
      <c r="E3" s="5"/>
      <c r="F3" s="5"/>
    </row>
    <row r="4" spans="2:10" ht="15.6" x14ac:dyDescent="0.3">
      <c r="B4" s="11" t="s">
        <v>56</v>
      </c>
      <c r="C4" s="11" t="s">
        <v>57</v>
      </c>
      <c r="D4" s="11" t="s">
        <v>52</v>
      </c>
      <c r="E4" s="11" t="s">
        <v>53</v>
      </c>
      <c r="F4" s="11" t="s">
        <v>54</v>
      </c>
      <c r="G4" s="11" t="s">
        <v>55</v>
      </c>
    </row>
    <row r="5" spans="2:10" ht="14.4" x14ac:dyDescent="0.3">
      <c r="B5" s="7">
        <v>6.6444999999999999</v>
      </c>
      <c r="C5" s="7">
        <v>0</v>
      </c>
      <c r="D5" s="22">
        <f t="shared" ref="D5:D14" si="0">ROUND(B5,C5)</f>
        <v>7</v>
      </c>
      <c r="E5" s="22">
        <f t="shared" ref="E5:E14" si="1">ROUNDUP(B5,C5)</f>
        <v>7</v>
      </c>
      <c r="F5" s="22">
        <f t="shared" ref="F5:F14" si="2">ROUNDDOWN(B5,C5)</f>
        <v>6</v>
      </c>
      <c r="G5" s="22">
        <f t="shared" ref="G5:G14" si="3">INT(B5)</f>
        <v>6</v>
      </c>
      <c r="H5" s="5" t="s">
        <v>58</v>
      </c>
      <c r="I5" s="14"/>
    </row>
    <row r="6" spans="2:10" ht="14.4" x14ac:dyDescent="0.3">
      <c r="B6" s="7">
        <v>3.1926000000000001</v>
      </c>
      <c r="C6" s="7">
        <v>1</v>
      </c>
      <c r="D6" s="22">
        <f t="shared" si="0"/>
        <v>3.2</v>
      </c>
      <c r="E6" s="22">
        <f t="shared" si="1"/>
        <v>3.2</v>
      </c>
      <c r="F6" s="22">
        <f t="shared" si="2"/>
        <v>3.1</v>
      </c>
      <c r="G6" s="22">
        <f t="shared" si="3"/>
        <v>3</v>
      </c>
      <c r="H6" s="5" t="s">
        <v>59</v>
      </c>
    </row>
    <row r="7" spans="2:10" ht="14.4" x14ac:dyDescent="0.3">
      <c r="B7" s="7">
        <v>3.7498</v>
      </c>
      <c r="C7" s="7">
        <v>2</v>
      </c>
      <c r="D7" s="22">
        <f t="shared" si="0"/>
        <v>3.75</v>
      </c>
      <c r="E7" s="22">
        <f t="shared" si="1"/>
        <v>3.75</v>
      </c>
      <c r="F7" s="22">
        <f t="shared" si="2"/>
        <v>3.74</v>
      </c>
      <c r="G7" s="22">
        <f t="shared" si="3"/>
        <v>3</v>
      </c>
      <c r="H7" s="5" t="s">
        <v>60</v>
      </c>
    </row>
    <row r="8" spans="2:10" ht="14.4" x14ac:dyDescent="0.3">
      <c r="B8" s="7">
        <v>0</v>
      </c>
      <c r="C8" s="7">
        <v>3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5" t="s">
        <v>61</v>
      </c>
    </row>
    <row r="9" spans="2:10" ht="14.4" x14ac:dyDescent="0.3">
      <c r="B9" s="7">
        <v>-7.4450000000000003</v>
      </c>
      <c r="C9" s="7">
        <v>1</v>
      </c>
      <c r="D9" s="22">
        <f t="shared" si="0"/>
        <v>-7.4</v>
      </c>
      <c r="E9" s="22">
        <f t="shared" si="1"/>
        <v>-7.5</v>
      </c>
      <c r="F9" s="22">
        <f t="shared" si="2"/>
        <v>-7.4</v>
      </c>
      <c r="G9" s="22">
        <f t="shared" si="3"/>
        <v>-8</v>
      </c>
      <c r="H9" s="5" t="s">
        <v>62</v>
      </c>
    </row>
    <row r="10" spans="2:10" ht="14.4" x14ac:dyDescent="0.3">
      <c r="B10" s="23">
        <v>-5.3129999999999997</v>
      </c>
      <c r="C10" s="24">
        <v>2</v>
      </c>
      <c r="D10" s="22">
        <f t="shared" si="0"/>
        <v>-5.31</v>
      </c>
      <c r="E10" s="22">
        <f t="shared" si="1"/>
        <v>-5.3199999999999994</v>
      </c>
      <c r="F10" s="22">
        <f t="shared" si="2"/>
        <v>-5.31</v>
      </c>
      <c r="G10" s="22">
        <f t="shared" si="3"/>
        <v>-6</v>
      </c>
      <c r="H10" s="5" t="s">
        <v>63</v>
      </c>
      <c r="I10" s="14"/>
    </row>
    <row r="11" spans="2:10" ht="14.4" x14ac:dyDescent="0.3">
      <c r="B11" s="7">
        <v>72325.3</v>
      </c>
      <c r="C11" s="7">
        <v>-1</v>
      </c>
      <c r="D11" s="22">
        <f t="shared" si="0"/>
        <v>72330</v>
      </c>
      <c r="E11" s="22">
        <f t="shared" si="1"/>
        <v>72330</v>
      </c>
      <c r="F11" s="22">
        <f t="shared" si="2"/>
        <v>72320</v>
      </c>
      <c r="G11" s="22">
        <f t="shared" si="3"/>
        <v>72325</v>
      </c>
      <c r="H11" s="5" t="s">
        <v>64</v>
      </c>
      <c r="I11" s="14"/>
    </row>
    <row r="12" spans="2:10" ht="14.4" x14ac:dyDescent="0.3">
      <c r="B12" s="7">
        <v>88275.5</v>
      </c>
      <c r="C12" s="7">
        <v>-2</v>
      </c>
      <c r="D12" s="22">
        <f t="shared" si="0"/>
        <v>88300</v>
      </c>
      <c r="E12" s="22">
        <f t="shared" si="1"/>
        <v>88300</v>
      </c>
      <c r="F12" s="22">
        <f t="shared" si="2"/>
        <v>88200</v>
      </c>
      <c r="G12" s="22">
        <f t="shared" si="3"/>
        <v>88275</v>
      </c>
      <c r="H12" s="5" t="s">
        <v>65</v>
      </c>
      <c r="I12" s="14"/>
    </row>
    <row r="13" spans="2:10" ht="14.4" x14ac:dyDescent="0.3">
      <c r="B13" s="7">
        <v>81893.8</v>
      </c>
      <c r="C13" s="7">
        <v>-3</v>
      </c>
      <c r="D13" s="22">
        <f t="shared" si="0"/>
        <v>82000</v>
      </c>
      <c r="E13" s="22">
        <f t="shared" si="1"/>
        <v>82000</v>
      </c>
      <c r="F13" s="22">
        <f t="shared" si="2"/>
        <v>81000</v>
      </c>
      <c r="G13" s="22">
        <f t="shared" si="3"/>
        <v>81893</v>
      </c>
      <c r="H13" s="5" t="s">
        <v>66</v>
      </c>
      <c r="I13" s="14"/>
    </row>
    <row r="14" spans="2:10" ht="14.4" x14ac:dyDescent="0.3">
      <c r="B14" s="7">
        <v>35901.4</v>
      </c>
      <c r="C14" s="7">
        <v>-4</v>
      </c>
      <c r="D14" s="22">
        <f t="shared" si="0"/>
        <v>40000</v>
      </c>
      <c r="E14" s="22">
        <f t="shared" si="1"/>
        <v>40000</v>
      </c>
      <c r="F14" s="22">
        <f t="shared" si="2"/>
        <v>30000</v>
      </c>
      <c r="G14" s="22">
        <f t="shared" si="3"/>
        <v>35901</v>
      </c>
      <c r="H14" s="5" t="s">
        <v>67</v>
      </c>
    </row>
    <row r="15" spans="2:10" ht="14.4" x14ac:dyDescent="0.3"/>
    <row r="16" spans="2:10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Normal="100" workbookViewId="0"/>
  </sheetViews>
  <sheetFormatPr defaultColWidth="14.44140625" defaultRowHeight="15" customHeight="1" x14ac:dyDescent="0.3"/>
  <cols>
    <col min="1" max="1" width="8.88671875" customWidth="1"/>
    <col min="2" max="2" width="9.33203125" customWidth="1"/>
    <col min="3" max="5" width="7.33203125" customWidth="1"/>
    <col min="6" max="6" width="7.6640625" customWidth="1"/>
    <col min="7" max="7" width="4.88671875" customWidth="1"/>
    <col min="8" max="8" width="10.109375" customWidth="1"/>
    <col min="9" max="11" width="8.88671875" customWidth="1"/>
    <col min="12" max="26" width="9" customWidth="1"/>
  </cols>
  <sheetData>
    <row r="1" spans="1:26" ht="14.4" x14ac:dyDescent="0.3">
      <c r="A1" s="18"/>
      <c r="B1" s="18"/>
      <c r="C1" s="18"/>
      <c r="D1" s="18"/>
      <c r="E1" s="18"/>
      <c r="F1" s="18"/>
      <c r="G1" s="18"/>
      <c r="H1" s="18"/>
      <c r="I1" s="18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1" x14ac:dyDescent="0.4">
      <c r="A2" s="18"/>
      <c r="B2" s="4" t="s">
        <v>68</v>
      </c>
      <c r="C2" s="21"/>
      <c r="D2" s="25"/>
      <c r="E2" s="10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4.4" x14ac:dyDescent="0.3">
      <c r="A3" s="18"/>
      <c r="B3" s="18"/>
      <c r="C3" s="18"/>
      <c r="D3" s="5"/>
      <c r="E3" s="5"/>
      <c r="F3" s="5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6" x14ac:dyDescent="0.3">
      <c r="A4" s="18"/>
      <c r="B4" s="11" t="s">
        <v>69</v>
      </c>
      <c r="C4" s="11" t="s">
        <v>70</v>
      </c>
      <c r="D4" s="11" t="s">
        <v>71</v>
      </c>
      <c r="E4" s="11" t="s">
        <v>72</v>
      </c>
      <c r="F4" s="11" t="s">
        <v>73</v>
      </c>
      <c r="G4" s="18"/>
      <c r="H4" s="26" t="s">
        <v>5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4.4" x14ac:dyDescent="0.3">
      <c r="A5" s="18"/>
      <c r="B5" s="7">
        <v>1</v>
      </c>
      <c r="C5" s="7">
        <v>2</v>
      </c>
      <c r="D5" s="7">
        <v>3</v>
      </c>
      <c r="E5" s="24">
        <v>4</v>
      </c>
      <c r="F5" s="7">
        <v>5</v>
      </c>
      <c r="G5" s="18"/>
      <c r="H5" s="27">
        <f t="shared" ref="H5:H13" si="0">SUM(B5,C5,D5,E5,F5)</f>
        <v>15</v>
      </c>
      <c r="I5" s="5" t="s">
        <v>74</v>
      </c>
      <c r="J5" s="18"/>
      <c r="K5" s="5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4.4" x14ac:dyDescent="0.3">
      <c r="A6" s="18"/>
      <c r="B6" s="7">
        <v>3.1926000000000001</v>
      </c>
      <c r="C6" s="7">
        <v>1.2</v>
      </c>
      <c r="D6" s="7">
        <v>3.2</v>
      </c>
      <c r="E6" s="28">
        <v>3.5</v>
      </c>
      <c r="F6" s="7">
        <v>4.0999999999999996</v>
      </c>
      <c r="G6" s="18"/>
      <c r="H6" s="27">
        <f t="shared" si="0"/>
        <v>15.192600000000001</v>
      </c>
      <c r="I6" s="5" t="s">
        <v>75</v>
      </c>
      <c r="J6" s="18"/>
      <c r="K6" s="5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4.4" x14ac:dyDescent="0.3">
      <c r="A7" s="18"/>
      <c r="B7" s="24">
        <v>-1</v>
      </c>
      <c r="C7" s="24">
        <v>2</v>
      </c>
      <c r="D7" s="7">
        <v>-3</v>
      </c>
      <c r="E7" s="24">
        <v>4</v>
      </c>
      <c r="F7" s="7">
        <v>-6</v>
      </c>
      <c r="G7" s="18"/>
      <c r="H7" s="27">
        <f t="shared" si="0"/>
        <v>-4</v>
      </c>
      <c r="I7" s="5" t="s">
        <v>76</v>
      </c>
      <c r="J7" s="18"/>
      <c r="K7" s="5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4" x14ac:dyDescent="0.3">
      <c r="A8" s="18"/>
      <c r="B8" s="29">
        <v>47119</v>
      </c>
      <c r="C8" s="24">
        <v>30</v>
      </c>
      <c r="D8" s="7">
        <v>55.2</v>
      </c>
      <c r="E8" s="24">
        <v>6</v>
      </c>
      <c r="F8" s="7">
        <v>1</v>
      </c>
      <c r="G8" s="18"/>
      <c r="H8" s="27">
        <f t="shared" si="0"/>
        <v>47211.199999999997</v>
      </c>
      <c r="I8" s="5" t="s">
        <v>77</v>
      </c>
      <c r="J8" s="18"/>
      <c r="K8" s="5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4.4" x14ac:dyDescent="0.3">
      <c r="A9" s="18"/>
      <c r="B9" s="30">
        <v>0.78125</v>
      </c>
      <c r="C9" s="24">
        <v>10</v>
      </c>
      <c r="D9" s="7">
        <v>15</v>
      </c>
      <c r="E9" s="24">
        <v>30</v>
      </c>
      <c r="F9" s="7">
        <v>45</v>
      </c>
      <c r="G9" s="18"/>
      <c r="H9" s="27">
        <f t="shared" si="0"/>
        <v>100.78125</v>
      </c>
      <c r="I9" s="5" t="s">
        <v>78</v>
      </c>
      <c r="J9" s="18"/>
      <c r="K9" s="5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4" x14ac:dyDescent="0.3">
      <c r="A10" s="18"/>
      <c r="B10" s="7">
        <v>5</v>
      </c>
      <c r="C10" s="7" t="s">
        <v>79</v>
      </c>
      <c r="D10" s="7">
        <v>0</v>
      </c>
      <c r="E10" s="24" t="s">
        <v>80</v>
      </c>
      <c r="F10" s="7">
        <v>15</v>
      </c>
      <c r="G10" s="18"/>
      <c r="H10" s="27">
        <f t="shared" si="0"/>
        <v>20</v>
      </c>
      <c r="I10" s="5" t="s">
        <v>81</v>
      </c>
      <c r="J10" s="18"/>
      <c r="K10" s="5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4" x14ac:dyDescent="0.3">
      <c r="A11" s="18"/>
      <c r="B11" s="7" t="s">
        <v>82</v>
      </c>
      <c r="C11" s="7" t="s">
        <v>83</v>
      </c>
      <c r="D11" s="7" t="s">
        <v>84</v>
      </c>
      <c r="E11" s="24" t="s">
        <v>85</v>
      </c>
      <c r="F11" s="7" t="s">
        <v>86</v>
      </c>
      <c r="G11" s="18"/>
      <c r="H11" s="27">
        <f t="shared" si="0"/>
        <v>0</v>
      </c>
      <c r="I11" s="5" t="s">
        <v>81</v>
      </c>
      <c r="J11" s="18"/>
      <c r="K11" s="5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4" x14ac:dyDescent="0.3">
      <c r="A12" s="18"/>
      <c r="B12" s="7">
        <v>1</v>
      </c>
      <c r="C12" s="7">
        <v>2</v>
      </c>
      <c r="D12" s="7">
        <v>3</v>
      </c>
      <c r="E12" s="24">
        <v>4</v>
      </c>
      <c r="F12" s="7" t="e">
        <f>E12/0</f>
        <v>#DIV/0!</v>
      </c>
      <c r="G12" s="18"/>
      <c r="H12" s="27" t="e">
        <f t="shared" si="0"/>
        <v>#DIV/0!</v>
      </c>
      <c r="I12" s="5" t="s">
        <v>87</v>
      </c>
      <c r="J12" s="18"/>
      <c r="K12" s="5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4" x14ac:dyDescent="0.3">
      <c r="A13" s="18"/>
      <c r="B13" s="7">
        <v>5</v>
      </c>
      <c r="C13" s="7">
        <v>6</v>
      </c>
      <c r="D13" s="7">
        <v>7</v>
      </c>
      <c r="E13" s="7" t="e">
        <f>VLOOKUP(14,H5:H8,1,0)</f>
        <v>#N/A</v>
      </c>
      <c r="F13" s="24">
        <v>8</v>
      </c>
      <c r="G13" s="18"/>
      <c r="H13" s="27" t="e">
        <f t="shared" si="0"/>
        <v>#N/A</v>
      </c>
      <c r="I13" s="5" t="s">
        <v>87</v>
      </c>
      <c r="J13" s="18"/>
      <c r="K13" s="5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4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4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4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4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4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4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4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4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4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4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4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4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4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4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4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4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4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4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4.4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4.4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4.4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4.4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4.4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4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4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4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4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4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4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4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4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4.4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4.4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4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4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4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4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4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4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4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4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4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4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4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4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4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4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4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4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4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4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4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4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4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4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4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4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4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4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4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4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4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4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4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4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4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4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4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4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4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4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4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4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4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4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4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4.4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4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4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4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4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4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4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4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4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4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4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4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4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4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4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4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4.4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4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4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4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4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4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4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4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4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4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4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4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4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4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4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4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4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4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4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4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4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4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4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4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4.4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4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4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4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4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4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4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4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4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4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4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4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4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4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4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4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4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4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4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4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4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4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4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4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4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4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4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4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4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4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4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4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4.4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4.4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4.4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4.4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4.4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4.4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4.4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4.4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4.4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4.4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4.4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4.4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4.4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4.4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4.4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4.4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4.4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4.4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4.4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4.4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4.4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4.4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4.4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4.4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4.4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4.4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4.4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4.4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4.4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4.4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4.4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4.4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4.4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4.4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4.4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4.4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4.4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4.4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4.4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4.4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4.4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4.4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4.4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4.4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4.4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4.4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4.4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4.4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4.4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4.4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4.4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4.4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4.4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4.4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4.4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4.4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4.4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4.4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4.4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4.4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4.4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4.4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4.4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4.4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4.4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4.4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4.4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4.4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4.4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4.4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4.4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4.4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4.4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4.4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4.4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4.4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4.4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4.4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4.4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4.4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4.4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4.4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4.4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4.4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4.4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4.4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4.4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4.4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4.4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4.4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4.4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4.4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4.4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4.4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4.4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4.4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4.4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4.4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4.4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4.4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4.4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4.4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4.4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4.4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4.4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4.4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4.4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4.4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4.4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4.4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4.4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4.4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4.4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4.4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4.4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4.4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4.4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4.4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4.4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4.4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4.4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4.4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4.4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4.4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4.4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4.4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4.4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4.4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4.4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4.4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4.4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4.4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4.4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4.4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4.4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4.4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4.4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4.4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4.4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4.4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4.4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4.4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4.4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4.4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4.4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4.4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4.4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4.4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4.4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4.4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4.4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4.4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4.4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4.4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4.4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4.4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4.4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4.4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4.4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4.4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4.4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4.4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4.4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4.4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4.4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4.4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4.4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4.4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4.4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4.4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4.4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4.4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4.4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4.4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4.4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4.4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4.4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4.4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4.4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4.4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4.4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4.4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4.4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4.4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4.4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4.4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4.4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4.4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4.4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4.4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4.4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4.4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4.4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4.4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4.4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4.4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4.4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4.4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4.4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4.4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4.4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4.4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4.4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4.4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4.4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4.4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4.4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4.4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4.4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4.4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4.4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4.4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4.4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4.4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4.4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4.4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4.4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4.4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4.4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4.4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4.4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4.4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4.4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4.4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4.4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4.4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4.4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4.4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4.4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4.4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4.4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4.4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4.4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4.4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4.4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4.4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4.4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4.4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4.4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4.4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4.4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4.4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4.4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4.4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4.4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4.4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4.4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4.4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4.4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4.4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4.4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4.4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4.4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4.4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4.4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4.4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4.4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4.4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4.4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4.4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4.4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4.4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4.4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4.4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4.4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4.4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4.4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4.4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4.4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4.4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4.4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4.4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4.4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4.4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4.4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4.4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4.4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4.4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4.4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4.4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4.4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4.4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4.4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4.4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4.4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4.4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4.4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4.4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4.4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4.4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4.4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4.4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4.4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4.4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4.4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4.4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4.4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4.4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4.4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4.4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4.4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4.4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4.4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4.4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4.4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4.4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4.4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4.4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4.4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4.4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4.4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4.4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4.4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4.4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4.4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4.4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4.4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4.4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4.4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4.4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4.4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4.4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4.4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4.4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4.4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4.4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4.4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4.4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4.4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4.4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4.4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4.4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4.4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4.4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4.4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4.4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4.4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4.4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4.4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4.4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4.4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4.4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4.4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4.4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4.4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4.4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4.4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4.4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4.4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4.4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4.4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4.4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4.4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4.4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4.4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4.4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4.4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4.4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4.4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4.4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4.4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4.4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4.4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4.4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4.4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4.4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4.4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4.4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4.4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4.4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4.4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4.4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4.4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4.4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4.4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4.4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4.4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4.4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4.4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4.4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4.4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4.4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4.4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4.4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4.4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4.4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4.4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4.4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4.4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4.4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4.4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4.4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4.4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4.4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4.4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4.4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4.4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4.4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4.4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4.4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4.4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4.4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4.4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4.4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4.4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4.4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4.4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4.4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4.4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4.4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4.4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4.4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4.4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4.4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4.4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4.4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4.4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4.4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4.4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4.4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4.4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4.4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4.4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4.4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4.4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4.4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4.4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4.4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4.4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4.4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4.4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4.4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4.4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4.4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4.4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4.4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4.4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4.4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4.4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4.4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4.4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4.4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4.4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4.4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4.4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4.4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4.4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4.4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4.4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4.4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4.4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4.4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4.4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4.4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4.4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4.4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4.4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4.4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4.4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4.4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4.4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4.4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4.4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4.4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4.4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4.4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4.4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4.4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4.4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4.4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4.4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4.4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4.4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4.4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4.4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4.4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4.4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4.4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4.4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4.4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4.4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4.4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4.4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4.4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4.4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4.4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4.4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4.4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4.4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4.4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4.4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4.4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4.4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4.4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4.4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4.4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4.4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4.4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4.4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4.4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4.4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4.4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4.4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4.4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4.4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4.4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4.4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4.4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4.4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4.4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4.4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4.4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4.4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4.4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4.4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4.4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4.4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4.4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4.4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4.4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4.4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4.4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4.4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4.4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4.4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4.4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4.4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4.4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4.4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4.4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4.4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4.4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4.4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4.4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4.4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4.4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4.4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4.4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4.4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4.4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4.4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4.4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4.4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4.4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4.4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4.4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4.4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4.4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4.4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4.4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4.4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4.4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4.4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4.4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4.4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4.4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4.4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4.4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4.4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4.4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4.4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4.4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4.4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4.4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4.4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4.4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4.4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4.4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4.4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4.4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4.4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4.4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4.4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4.4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4.4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4.4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4.4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4.4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4.4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4.4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4.4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4.4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4.4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4.4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4.4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4.4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4.4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4.4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4.4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4.4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4.4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4.4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4.4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4.4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4.4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4.4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4.4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4.4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4.4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4.4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4.4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4.4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4.4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4.4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4.4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4.4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4.4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4.4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4.4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4.4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4.4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4.4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4.4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4.4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4.4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4.4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4.4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4.4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4.4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4.4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4.4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4.4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4.4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4.4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4.4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4.4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4.4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4.4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4.4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4.4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4.4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4.4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4.4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4.4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4.4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4.4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4.4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4.4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4.4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4.4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4.4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4.4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4.4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4.4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4.4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4.4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4.4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4.4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4.4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4.4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4.4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4.4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4.4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4.4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4.4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4.4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4.4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4.4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4.4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4.4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4.4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4.4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4.4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4.4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4.4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4.4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4.4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4.4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4.4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4.4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4.4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4.4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4.4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4.4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4.4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4.4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4.4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4.4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4.4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4.4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4.4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4.4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4.4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4.4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4.4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4.4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4.4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4.4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4.4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4.4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4.4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4.4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4.4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4.4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4.4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4.4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4.4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4.4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4.4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4.4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4.4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4.4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4.4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4.4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4.4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4.4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4.4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4.4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4.4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4.4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4.4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4.4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4.4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4.4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4.4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4.4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4.4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4.4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4.4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4.4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4.4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4.4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4.4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4.4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4.4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4.4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4.4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4.4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4.4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4.4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4.4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4.4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4.4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4.4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4.4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4.4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4.4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4.4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4.4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4.4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4.4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4.4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4.4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4.4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4.4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4.4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4.4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4.4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4.4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4.4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4.4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4.4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4.4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4.4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4.4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4.4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4.4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4.4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4.4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4.4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4.4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4.4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4.4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4.4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4.4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4.4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4.4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4.4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4.4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4.4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Normal="100" workbookViewId="0"/>
  </sheetViews>
  <sheetFormatPr defaultColWidth="14.44140625" defaultRowHeight="15" customHeight="1" x14ac:dyDescent="0.3"/>
  <cols>
    <col min="1" max="1" width="8.88671875" customWidth="1"/>
    <col min="2" max="2" width="9.33203125" customWidth="1"/>
    <col min="3" max="3" width="7.33203125" customWidth="1"/>
    <col min="4" max="5" width="9.88671875" customWidth="1"/>
    <col min="6" max="6" width="4.88671875" customWidth="1"/>
    <col min="7" max="7" width="10.109375" customWidth="1"/>
    <col min="8" max="10" width="8.88671875" customWidth="1"/>
    <col min="11" max="26" width="9" customWidth="1"/>
  </cols>
  <sheetData>
    <row r="1" spans="1:26" ht="14.4" x14ac:dyDescent="0.3">
      <c r="A1" s="18"/>
      <c r="B1" s="18"/>
      <c r="C1" s="18"/>
      <c r="D1" s="18"/>
      <c r="E1" s="18"/>
      <c r="F1" s="18"/>
      <c r="G1" s="18"/>
      <c r="H1" s="18"/>
      <c r="I1" s="18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1" x14ac:dyDescent="0.4">
      <c r="A2" s="18"/>
      <c r="B2" s="4" t="s">
        <v>88</v>
      </c>
      <c r="C2" s="9"/>
      <c r="D2" s="10"/>
      <c r="E2" s="10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4.4" x14ac:dyDescent="0.3">
      <c r="A3" s="18"/>
      <c r="B3" s="18"/>
      <c r="C3" s="18"/>
      <c r="D3" s="5"/>
      <c r="E3" s="5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6" x14ac:dyDescent="0.3">
      <c r="A4" s="18"/>
      <c r="B4" s="11" t="s">
        <v>69</v>
      </c>
      <c r="C4" s="11" t="s">
        <v>70</v>
      </c>
      <c r="D4" s="11" t="s">
        <v>71</v>
      </c>
      <c r="E4" s="11" t="s">
        <v>72</v>
      </c>
      <c r="F4" s="18"/>
      <c r="G4" s="26" t="s">
        <v>5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4.4" x14ac:dyDescent="0.3">
      <c r="A5" s="18"/>
      <c r="B5" s="7">
        <v>1</v>
      </c>
      <c r="C5" s="7">
        <v>2</v>
      </c>
      <c r="D5" s="7">
        <v>3</v>
      </c>
      <c r="E5" s="7">
        <v>4</v>
      </c>
      <c r="F5" s="18"/>
      <c r="G5" s="22">
        <f t="shared" ref="G5:G14" si="0">AVERAGE(B5,C5,D5,E5)</f>
        <v>2.5</v>
      </c>
      <c r="H5" s="5" t="s">
        <v>74</v>
      </c>
      <c r="I5" s="18"/>
      <c r="J5" s="5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4.4" x14ac:dyDescent="0.3">
      <c r="A6" s="18"/>
      <c r="B6" s="7">
        <v>3.1926000000000001</v>
      </c>
      <c r="C6" s="7">
        <v>1.2</v>
      </c>
      <c r="D6" s="7">
        <v>3.2</v>
      </c>
      <c r="E6" s="7">
        <v>4.8</v>
      </c>
      <c r="F6" s="18"/>
      <c r="G6" s="22">
        <f t="shared" si="0"/>
        <v>3.09815</v>
      </c>
      <c r="H6" s="5" t="s">
        <v>75</v>
      </c>
      <c r="I6" s="18"/>
      <c r="J6" s="5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4.4" x14ac:dyDescent="0.3">
      <c r="A7" s="18"/>
      <c r="B7" s="24">
        <v>-1</v>
      </c>
      <c r="C7" s="24">
        <v>-2</v>
      </c>
      <c r="D7" s="7">
        <v>-3</v>
      </c>
      <c r="E7" s="7">
        <v>-4</v>
      </c>
      <c r="F7" s="18"/>
      <c r="G7" s="22">
        <f t="shared" si="0"/>
        <v>-2.5</v>
      </c>
      <c r="H7" s="5" t="s">
        <v>76</v>
      </c>
      <c r="I7" s="18"/>
      <c r="J7" s="5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4" x14ac:dyDescent="0.3">
      <c r="A8" s="18"/>
      <c r="B8" s="29">
        <v>47119</v>
      </c>
      <c r="C8" s="24">
        <v>30</v>
      </c>
      <c r="D8" s="7">
        <v>55.2</v>
      </c>
      <c r="E8" s="7">
        <v>8</v>
      </c>
      <c r="F8" s="18"/>
      <c r="G8" s="22">
        <f t="shared" si="0"/>
        <v>11803.05</v>
      </c>
      <c r="H8" s="5" t="s">
        <v>77</v>
      </c>
      <c r="I8" s="18"/>
      <c r="J8" s="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4.4" x14ac:dyDescent="0.3">
      <c r="A9" s="18"/>
      <c r="B9" s="30">
        <v>0.78125</v>
      </c>
      <c r="C9" s="24">
        <v>10</v>
      </c>
      <c r="D9" s="7">
        <v>15</v>
      </c>
      <c r="E9" s="7">
        <v>3</v>
      </c>
      <c r="F9" s="18"/>
      <c r="G9" s="22">
        <f t="shared" si="0"/>
        <v>7.1953125</v>
      </c>
      <c r="H9" s="5" t="s">
        <v>78</v>
      </c>
      <c r="I9" s="18"/>
      <c r="J9" s="5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4" x14ac:dyDescent="0.3">
      <c r="A10" s="18"/>
      <c r="B10" s="24">
        <v>5</v>
      </c>
      <c r="C10" s="24">
        <v>10</v>
      </c>
      <c r="D10" s="7">
        <v>0</v>
      </c>
      <c r="E10" s="7">
        <v>15</v>
      </c>
      <c r="F10" s="18"/>
      <c r="G10" s="22">
        <f t="shared" si="0"/>
        <v>7.5</v>
      </c>
      <c r="H10" s="5" t="s">
        <v>89</v>
      </c>
      <c r="I10" s="18"/>
      <c r="J10" s="5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4" x14ac:dyDescent="0.3">
      <c r="A11" s="18"/>
      <c r="B11" s="24">
        <v>5</v>
      </c>
      <c r="C11" s="24">
        <v>10</v>
      </c>
      <c r="D11" s="7"/>
      <c r="E11" s="7">
        <v>15</v>
      </c>
      <c r="F11" s="18"/>
      <c r="G11" s="22">
        <f t="shared" si="0"/>
        <v>10</v>
      </c>
      <c r="H11" s="5" t="s">
        <v>90</v>
      </c>
      <c r="I11" s="18"/>
      <c r="J11" s="5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4" x14ac:dyDescent="0.3">
      <c r="A12" s="18"/>
      <c r="B12" s="7">
        <v>5</v>
      </c>
      <c r="C12" s="7" t="s">
        <v>79</v>
      </c>
      <c r="D12" s="7">
        <v>1</v>
      </c>
      <c r="E12" s="7">
        <v>1</v>
      </c>
      <c r="F12" s="18"/>
      <c r="G12" s="22">
        <f t="shared" si="0"/>
        <v>2.3333333333333335</v>
      </c>
      <c r="H12" s="5" t="s">
        <v>81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4" x14ac:dyDescent="0.3">
      <c r="A13" s="18"/>
      <c r="B13" s="7" t="s">
        <v>82</v>
      </c>
      <c r="C13" s="7" t="s">
        <v>83</v>
      </c>
      <c r="D13" s="7" t="s">
        <v>84</v>
      </c>
      <c r="E13" s="7" t="s">
        <v>85</v>
      </c>
      <c r="F13" s="18"/>
      <c r="G13" s="22" t="e">
        <f t="shared" si="0"/>
        <v>#DIV/0!</v>
      </c>
      <c r="H13" s="5" t="s">
        <v>81</v>
      </c>
      <c r="I13" s="18"/>
      <c r="J13" s="5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4" x14ac:dyDescent="0.3">
      <c r="A14" s="18"/>
      <c r="B14" s="7">
        <v>1</v>
      </c>
      <c r="C14" s="7">
        <v>2</v>
      </c>
      <c r="D14" s="7" t="e">
        <f>VLOOKUP(G7,G5:G6,1,0)</f>
        <v>#N/A</v>
      </c>
      <c r="E14" s="7">
        <v>3</v>
      </c>
      <c r="F14" s="18"/>
      <c r="G14" s="22" t="e">
        <f t="shared" si="0"/>
        <v>#N/A</v>
      </c>
      <c r="H14" s="5" t="s">
        <v>91</v>
      </c>
      <c r="I14" s="18"/>
      <c r="J14" s="5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4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4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4.4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4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4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4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4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4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4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4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4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4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4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4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4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4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4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4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4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4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4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4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4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4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4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4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4.4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4.4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4.4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4.4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4.4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4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4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4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4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4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4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4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4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4.4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4.4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4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4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4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4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4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4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4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4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4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4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4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4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4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4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4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4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4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4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4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4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4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4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4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4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4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4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4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4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4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4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4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4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4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4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4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4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4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4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4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4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4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4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4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4.4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4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4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4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4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4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4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4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4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4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4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4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4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4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4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4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4.4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4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4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4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4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4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4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4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4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4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4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4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4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4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4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4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4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4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4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4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4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4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4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4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4.4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4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4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4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4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4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4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4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4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4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4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4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4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4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4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4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4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4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4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4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4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4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4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4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4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4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4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4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4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4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4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4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4.4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4.4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4.4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4.4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4.4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4.4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4.4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4.4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4.4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4.4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4.4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4.4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4.4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4.4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4.4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4.4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4.4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4.4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4.4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4.4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4.4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4.4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4.4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4.4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4.4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4.4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4.4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4.4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4.4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4.4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4.4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4.4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4.4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4.4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4.4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4.4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4.4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4.4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4.4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4.4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4.4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4.4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4.4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4.4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4.4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4.4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4.4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4.4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4.4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4.4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4.4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4.4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4.4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4.4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4.4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4.4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4.4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4.4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4.4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4.4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4.4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4.4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4.4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4.4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4.4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4.4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4.4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4.4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4.4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4.4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4.4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4.4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4.4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4.4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4.4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4.4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4.4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4.4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4.4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4.4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4.4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4.4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4.4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4.4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4.4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4.4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4.4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4.4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4.4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4.4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4.4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4.4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4.4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4.4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4.4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4.4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4.4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4.4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4.4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4.4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4.4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4.4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4.4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4.4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4.4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4.4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4.4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4.4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4.4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4.4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4.4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4.4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4.4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4.4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4.4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4.4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4.4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4.4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4.4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4.4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4.4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4.4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4.4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4.4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4.4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4.4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4.4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4.4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4.4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4.4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4.4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4.4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4.4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4.4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4.4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4.4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4.4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4.4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4.4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4.4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4.4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4.4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4.4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4.4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4.4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4.4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4.4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4.4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4.4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4.4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4.4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4.4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4.4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4.4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4.4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4.4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4.4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4.4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4.4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4.4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4.4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4.4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4.4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4.4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4.4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4.4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4.4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4.4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4.4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4.4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4.4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4.4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4.4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4.4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4.4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4.4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4.4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4.4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4.4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4.4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4.4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4.4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4.4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4.4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4.4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4.4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4.4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4.4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4.4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4.4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4.4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4.4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4.4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4.4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4.4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4.4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4.4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4.4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4.4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4.4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4.4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4.4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4.4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4.4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4.4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4.4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4.4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4.4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4.4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4.4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4.4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4.4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4.4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4.4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4.4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4.4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4.4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4.4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4.4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4.4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4.4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4.4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4.4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4.4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4.4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4.4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4.4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4.4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4.4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4.4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4.4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4.4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4.4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4.4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4.4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4.4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4.4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4.4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4.4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4.4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4.4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4.4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4.4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4.4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4.4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4.4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4.4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4.4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4.4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4.4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4.4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4.4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4.4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4.4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4.4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4.4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4.4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4.4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4.4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4.4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4.4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4.4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4.4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4.4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4.4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4.4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4.4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4.4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4.4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4.4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4.4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4.4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4.4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4.4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4.4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4.4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4.4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4.4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4.4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4.4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4.4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4.4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4.4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4.4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4.4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4.4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4.4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4.4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4.4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4.4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4.4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4.4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4.4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4.4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4.4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4.4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4.4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4.4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4.4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4.4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4.4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4.4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4.4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4.4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4.4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4.4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4.4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4.4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4.4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4.4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4.4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4.4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4.4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4.4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4.4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4.4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4.4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4.4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4.4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4.4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4.4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4.4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4.4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4.4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4.4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4.4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4.4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4.4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4.4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4.4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4.4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4.4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4.4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4.4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4.4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4.4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4.4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4.4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4.4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4.4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4.4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4.4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4.4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4.4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4.4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4.4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4.4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4.4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4.4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4.4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4.4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4.4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4.4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4.4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4.4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4.4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4.4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4.4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4.4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4.4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4.4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4.4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4.4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4.4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4.4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4.4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4.4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4.4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4.4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4.4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4.4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4.4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4.4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4.4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4.4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4.4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4.4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4.4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4.4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4.4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4.4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4.4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4.4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4.4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4.4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4.4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4.4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4.4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4.4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4.4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4.4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4.4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4.4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4.4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4.4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4.4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4.4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4.4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4.4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4.4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4.4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4.4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4.4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4.4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4.4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4.4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4.4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4.4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4.4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4.4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4.4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4.4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4.4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4.4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4.4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4.4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4.4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4.4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4.4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4.4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4.4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4.4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4.4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4.4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4.4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4.4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4.4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4.4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4.4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4.4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4.4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4.4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4.4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4.4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4.4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4.4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4.4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4.4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4.4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4.4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4.4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4.4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4.4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4.4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4.4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4.4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4.4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4.4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4.4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4.4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4.4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4.4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4.4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4.4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4.4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4.4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4.4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4.4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4.4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4.4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4.4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4.4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4.4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4.4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4.4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4.4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4.4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4.4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4.4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4.4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4.4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4.4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4.4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4.4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4.4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4.4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4.4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4.4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4.4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4.4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4.4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4.4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4.4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4.4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4.4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4.4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4.4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4.4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4.4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4.4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4.4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4.4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4.4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4.4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4.4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4.4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4.4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4.4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4.4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4.4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4.4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4.4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4.4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4.4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4.4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4.4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4.4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4.4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4.4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4.4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4.4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4.4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4.4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4.4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4.4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4.4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4.4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4.4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4.4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4.4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4.4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4.4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4.4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4.4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4.4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4.4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4.4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4.4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4.4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4.4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4.4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4.4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4.4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4.4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4.4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4.4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4.4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4.4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4.4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4.4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4.4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4.4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4.4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4.4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4.4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4.4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4.4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4.4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4.4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4.4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4.4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4.4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4.4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4.4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4.4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4.4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4.4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4.4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4.4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4.4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4.4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4.4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4.4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4.4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4.4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4.4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4.4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4.4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4.4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4.4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4.4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4.4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4.4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4.4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4.4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4.4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4.4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4.4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4.4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4.4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4.4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4.4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4.4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4.4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4.4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4.4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4.4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4.4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4.4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4.4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4.4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4.4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4.4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4.4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4.4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4.4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4.4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4.4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4.4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4.4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4.4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4.4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4.4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4.4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4.4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4.4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4.4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4.4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4.4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4.4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4.4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4.4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4.4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4.4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4.4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4.4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4.4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4.4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4.4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4.4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4.4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4.4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4.4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4.4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4.4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4.4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4.4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4.4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4.4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4.4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4.4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4.4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4.4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4.4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4.4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4.4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4.4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4.4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4.4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4.4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4.4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4.4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4.4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4.4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4.4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4.4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4.4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4.4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4.4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4.4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4.4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4.4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4.4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4.4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4.4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4.4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4.4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4.4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4.4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4.4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4.4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4.4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4.4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4.4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4.4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4.4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4.4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4.4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4.4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4.4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4.4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4.4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4.4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4.4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4.4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4.4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4.4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4.4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4.4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4.4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4.4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4.4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4.4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4.4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4.4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4.4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4.4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4.4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4.4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4.4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4.4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4.4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4.4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4.4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4.4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4.4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4.4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4.4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4.4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4.4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4.4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4.4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4.4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4.4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4.4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4.4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4.4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4.4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4.4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4.4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4.4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4.4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4.4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4.4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4.4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4.4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4.4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4.4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4.4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4.4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4.4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4.4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4.4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4.4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4.4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4.4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4.4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4.4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4.4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4.4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4.4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4.4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4.4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4.4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4.4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4.4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4.4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4.4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4.4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4.4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4.4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4.4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4.4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4.4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4.4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4.4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4.4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4.4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4.4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4.4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4.4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4.4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4.4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4.4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4.4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4.4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4.4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4.4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4.4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4.4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4.4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4.4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4.4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4.4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4.4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4.4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4.4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4.4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4.4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4.4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2" width="14.5546875" customWidth="1"/>
    <col min="3" max="3" width="15.109375" customWidth="1"/>
    <col min="5" max="5" width="11.33203125" customWidth="1"/>
    <col min="6" max="6" width="9" customWidth="1"/>
    <col min="7" max="7" width="11.33203125" customWidth="1"/>
    <col min="8" max="26" width="9" customWidth="1"/>
  </cols>
  <sheetData>
    <row r="1" spans="2:10" ht="14.4" x14ac:dyDescent="0.3">
      <c r="J1" s="20"/>
    </row>
    <row r="2" spans="2:10" ht="21" x14ac:dyDescent="0.4">
      <c r="B2" s="4" t="s">
        <v>92</v>
      </c>
    </row>
    <row r="3" spans="2:10" ht="14.4" x14ac:dyDescent="0.3"/>
    <row r="4" spans="2:10" ht="15.6" x14ac:dyDescent="0.3">
      <c r="B4" s="11" t="s">
        <v>93</v>
      </c>
      <c r="C4" s="11" t="s">
        <v>94</v>
      </c>
      <c r="D4" s="11" t="s">
        <v>95</v>
      </c>
    </row>
    <row r="5" spans="2:10" ht="14.4" x14ac:dyDescent="0.3">
      <c r="B5" s="12" t="s">
        <v>96</v>
      </c>
      <c r="C5" s="31">
        <v>110000</v>
      </c>
      <c r="D5" s="8" t="str">
        <f t="shared" ref="D5:D15" si="0">IF(C5&gt;=90000,"Да","Нет")</f>
        <v>Да</v>
      </c>
      <c r="F5" s="5"/>
      <c r="G5" s="14"/>
    </row>
    <row r="6" spans="2:10" ht="14.4" x14ac:dyDescent="0.3">
      <c r="B6" s="12" t="s">
        <v>97</v>
      </c>
      <c r="C6" s="31">
        <v>113000</v>
      </c>
      <c r="D6" s="8" t="str">
        <f t="shared" si="0"/>
        <v>Да</v>
      </c>
      <c r="F6" s="5"/>
      <c r="G6" s="14"/>
    </row>
    <row r="7" spans="2:10" ht="14.4" x14ac:dyDescent="0.3">
      <c r="B7" s="12" t="s">
        <v>98</v>
      </c>
      <c r="C7" s="31">
        <v>106000</v>
      </c>
      <c r="D7" s="8" t="str">
        <f t="shared" si="0"/>
        <v>Да</v>
      </c>
      <c r="F7" s="5"/>
      <c r="G7" s="14"/>
    </row>
    <row r="8" spans="2:10" ht="14.4" x14ac:dyDescent="0.3">
      <c r="B8" s="12" t="s">
        <v>99</v>
      </c>
      <c r="C8" s="31">
        <v>84000</v>
      </c>
      <c r="D8" s="8" t="str">
        <f t="shared" si="0"/>
        <v>Нет</v>
      </c>
      <c r="F8" s="5"/>
      <c r="G8" s="14"/>
    </row>
    <row r="9" spans="2:10" ht="14.4" x14ac:dyDescent="0.3">
      <c r="B9" s="12" t="s">
        <v>100</v>
      </c>
      <c r="C9" s="31">
        <v>134000</v>
      </c>
      <c r="D9" s="8" t="str">
        <f t="shared" si="0"/>
        <v>Да</v>
      </c>
      <c r="F9" s="5"/>
      <c r="G9" s="14"/>
    </row>
    <row r="10" spans="2:10" ht="14.4" x14ac:dyDescent="0.3">
      <c r="B10" s="12" t="s">
        <v>101</v>
      </c>
      <c r="C10" s="31">
        <v>51000</v>
      </c>
      <c r="D10" s="8" t="str">
        <f t="shared" si="0"/>
        <v>Нет</v>
      </c>
      <c r="F10" s="5"/>
      <c r="G10" s="14"/>
    </row>
    <row r="11" spans="2:10" ht="14.4" x14ac:dyDescent="0.3">
      <c r="B11" s="12" t="s">
        <v>102</v>
      </c>
      <c r="C11" s="31">
        <v>83000</v>
      </c>
      <c r="D11" s="8" t="str">
        <f t="shared" si="0"/>
        <v>Нет</v>
      </c>
      <c r="F11" s="5"/>
      <c r="G11" s="14"/>
    </row>
    <row r="12" spans="2:10" ht="14.4" x14ac:dyDescent="0.3">
      <c r="B12" s="12" t="s">
        <v>103</v>
      </c>
      <c r="C12" s="31">
        <v>75000</v>
      </c>
      <c r="D12" s="8" t="str">
        <f t="shared" si="0"/>
        <v>Нет</v>
      </c>
      <c r="F12" s="5"/>
      <c r="G12" s="14"/>
    </row>
    <row r="13" spans="2:10" ht="14.4" x14ac:dyDescent="0.3">
      <c r="B13" s="12" t="s">
        <v>104</v>
      </c>
      <c r="C13" s="31">
        <v>92000</v>
      </c>
      <c r="D13" s="8" t="str">
        <f t="shared" si="0"/>
        <v>Да</v>
      </c>
      <c r="F13" s="5"/>
      <c r="G13" s="14"/>
    </row>
    <row r="14" spans="2:10" ht="14.4" x14ac:dyDescent="0.3">
      <c r="B14" s="16" t="s">
        <v>105</v>
      </c>
      <c r="C14" s="31">
        <v>99000</v>
      </c>
      <c r="D14" s="8" t="str">
        <f t="shared" si="0"/>
        <v>Да</v>
      </c>
      <c r="F14" s="5"/>
    </row>
    <row r="15" spans="2:10" ht="14.4" x14ac:dyDescent="0.3">
      <c r="B15" s="16" t="s">
        <v>106</v>
      </c>
      <c r="C15" s="31">
        <v>61000</v>
      </c>
      <c r="D15" s="8" t="str">
        <f t="shared" si="0"/>
        <v>Нет</v>
      </c>
      <c r="F15" s="5"/>
    </row>
    <row r="16" spans="2:10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20"/>
  <sheetViews>
    <sheetView zoomScaleNormal="100" workbookViewId="0">
      <selection activeCell="C12" sqref="C12"/>
    </sheetView>
  </sheetViews>
  <sheetFormatPr defaultColWidth="14.44140625" defaultRowHeight="15" customHeight="1" x14ac:dyDescent="0.3"/>
  <cols>
    <col min="1" max="1" width="9" customWidth="1"/>
    <col min="2" max="2" width="11.109375" customWidth="1"/>
    <col min="3" max="3" width="13.6640625" customWidth="1"/>
    <col min="4" max="4" width="6.33203125" customWidth="1"/>
    <col min="5" max="5" width="11.33203125" customWidth="1"/>
    <col min="6" max="6" width="13.6640625" customWidth="1"/>
    <col min="7" max="7" width="11.33203125" customWidth="1"/>
    <col min="8" max="8" width="9" customWidth="1"/>
    <col min="9" max="9" width="11.33203125" customWidth="1"/>
    <col min="10" max="26" width="9" customWidth="1"/>
  </cols>
  <sheetData>
    <row r="1" spans="2:10" ht="14.4" x14ac:dyDescent="0.3">
      <c r="J1" s="20"/>
    </row>
    <row r="2" spans="2:10" ht="21" x14ac:dyDescent="0.4">
      <c r="B2" s="4" t="s">
        <v>107</v>
      </c>
      <c r="D2" s="9"/>
      <c r="E2" s="9" t="s">
        <v>108</v>
      </c>
    </row>
    <row r="3" spans="2:10" ht="14.4" x14ac:dyDescent="0.3">
      <c r="C3" s="5"/>
      <c r="D3" s="5"/>
      <c r="E3" s="5"/>
      <c r="F3" s="5"/>
    </row>
    <row r="4" spans="2:10" ht="15.6" x14ac:dyDescent="0.3">
      <c r="B4" s="11" t="s">
        <v>109</v>
      </c>
      <c r="C4" s="11" t="s">
        <v>107</v>
      </c>
      <c r="D4" s="5"/>
      <c r="E4" s="11" t="s">
        <v>110</v>
      </c>
      <c r="F4" s="11" t="s">
        <v>108</v>
      </c>
    </row>
    <row r="5" spans="2:10" ht="14.4" x14ac:dyDescent="0.3">
      <c r="B5" s="7">
        <v>80</v>
      </c>
      <c r="C5" s="32" t="b">
        <f t="shared" ref="C5:C14" si="0">AND(B5&gt;100,B5&lt;130)</f>
        <v>0</v>
      </c>
      <c r="D5" s="5"/>
      <c r="E5" s="7" t="s">
        <v>111</v>
      </c>
      <c r="F5" s="65" t="b">
        <f t="shared" ref="F5:F14" si="1">OR(E5="Красный",E5="Синий")</f>
        <v>1</v>
      </c>
      <c r="G5" s="5"/>
      <c r="I5" s="14"/>
    </row>
    <row r="6" spans="2:10" ht="14.4" x14ac:dyDescent="0.3">
      <c r="B6" s="7">
        <v>110</v>
      </c>
      <c r="C6" s="66" t="b">
        <f t="shared" si="0"/>
        <v>1</v>
      </c>
      <c r="D6" s="5"/>
      <c r="E6" s="7" t="s">
        <v>112</v>
      </c>
      <c r="F6" s="65" t="b">
        <f t="shared" si="1"/>
        <v>1</v>
      </c>
      <c r="G6" s="5"/>
    </row>
    <row r="7" spans="2:10" ht="14.4" x14ac:dyDescent="0.3">
      <c r="B7" s="7">
        <v>80</v>
      </c>
      <c r="C7" s="32" t="b">
        <f t="shared" si="0"/>
        <v>0</v>
      </c>
      <c r="D7" s="5"/>
      <c r="E7" s="7" t="s">
        <v>111</v>
      </c>
      <c r="F7" s="65" t="b">
        <f t="shared" si="1"/>
        <v>1</v>
      </c>
      <c r="G7" s="5"/>
    </row>
    <row r="8" spans="2:10" ht="14.4" x14ac:dyDescent="0.3">
      <c r="B8" s="7">
        <v>110</v>
      </c>
      <c r="C8" s="66" t="b">
        <f t="shared" si="0"/>
        <v>1</v>
      </c>
      <c r="D8" s="5"/>
      <c r="E8" s="7" t="s">
        <v>113</v>
      </c>
      <c r="F8" s="32" t="b">
        <f t="shared" si="1"/>
        <v>0</v>
      </c>
      <c r="G8" s="5"/>
    </row>
    <row r="9" spans="2:10" ht="14.4" x14ac:dyDescent="0.3">
      <c r="B9" s="7">
        <v>60</v>
      </c>
      <c r="C9" s="32" t="b">
        <f t="shared" si="0"/>
        <v>0</v>
      </c>
      <c r="D9" s="5"/>
      <c r="E9" s="7" t="s">
        <v>112</v>
      </c>
      <c r="F9" s="32" t="b">
        <f t="shared" si="1"/>
        <v>1</v>
      </c>
      <c r="G9" s="5"/>
    </row>
    <row r="10" spans="2:10" ht="14.4" x14ac:dyDescent="0.3">
      <c r="B10" s="7">
        <v>80</v>
      </c>
      <c r="C10" s="32" t="b">
        <f t="shared" si="0"/>
        <v>0</v>
      </c>
      <c r="D10" s="5"/>
      <c r="E10" s="7" t="s">
        <v>114</v>
      </c>
      <c r="F10" s="32" t="b">
        <f t="shared" si="1"/>
        <v>0</v>
      </c>
      <c r="G10" s="5"/>
      <c r="I10" s="14"/>
    </row>
    <row r="11" spans="2:10" ht="14.4" x14ac:dyDescent="0.3">
      <c r="B11" s="7">
        <v>110</v>
      </c>
      <c r="C11" s="66" t="b">
        <f t="shared" si="0"/>
        <v>1</v>
      </c>
      <c r="D11" s="5"/>
      <c r="E11" s="7" t="s">
        <v>112</v>
      </c>
      <c r="F11" s="32" t="b">
        <f t="shared" si="1"/>
        <v>1</v>
      </c>
      <c r="G11" s="5"/>
      <c r="I11" s="14"/>
    </row>
    <row r="12" spans="2:10" ht="14.4" x14ac:dyDescent="0.3">
      <c r="B12" s="7">
        <v>120</v>
      </c>
      <c r="C12" s="66" t="b">
        <f t="shared" si="0"/>
        <v>1</v>
      </c>
      <c r="D12" s="5"/>
      <c r="E12" s="7" t="s">
        <v>112</v>
      </c>
      <c r="F12" s="32" t="b">
        <f t="shared" si="1"/>
        <v>1</v>
      </c>
      <c r="G12" s="5"/>
      <c r="I12" s="14"/>
    </row>
    <row r="13" spans="2:10" ht="14.4" x14ac:dyDescent="0.3">
      <c r="B13" s="7">
        <v>70</v>
      </c>
      <c r="C13" s="32" t="b">
        <f t="shared" si="0"/>
        <v>0</v>
      </c>
      <c r="D13" s="5"/>
      <c r="E13" s="7" t="s">
        <v>113</v>
      </c>
      <c r="F13" s="32" t="b">
        <f t="shared" si="1"/>
        <v>0</v>
      </c>
      <c r="G13" s="5"/>
      <c r="I13" s="14"/>
    </row>
    <row r="14" spans="2:10" ht="14.4" x14ac:dyDescent="0.3">
      <c r="B14" s="7">
        <v>140</v>
      </c>
      <c r="C14" s="32" t="b">
        <f t="shared" si="0"/>
        <v>0</v>
      </c>
      <c r="D14" s="5"/>
      <c r="E14" s="7" t="s">
        <v>114</v>
      </c>
      <c r="F14" s="32" t="b">
        <f t="shared" si="1"/>
        <v>0</v>
      </c>
      <c r="G14" s="5"/>
    </row>
    <row r="15" spans="2:10" ht="14.4" x14ac:dyDescent="0.3">
      <c r="D15" s="5"/>
    </row>
    <row r="16" spans="2:10" ht="14.4" x14ac:dyDescent="0.3"/>
    <row r="17" ht="14.4" x14ac:dyDescent="0.3"/>
    <row r="18" ht="14.4" x14ac:dyDescent="0.3"/>
    <row r="19" ht="14.4" x14ac:dyDescent="0.3"/>
    <row r="20" ht="14.4" x14ac:dyDescent="0.3"/>
  </sheetData>
  <conditionalFormatting sqref="C5 C7 C9:C10 C13:C14">
    <cfRule type="cellIs" dxfId="7" priority="6" operator="equal">
      <formula>"TRUE"</formula>
    </cfRule>
  </conditionalFormatting>
  <conditionalFormatting sqref="F5:F14">
    <cfRule type="cellIs" dxfId="6" priority="7" operator="equal">
      <formula>"TRUE"</formula>
    </cfRule>
  </conditionalFormatting>
  <conditionalFormatting sqref="C6">
    <cfRule type="cellIs" dxfId="3" priority="4" operator="equal">
      <formula>TRUE</formula>
    </cfRule>
  </conditionalFormatting>
  <conditionalFormatting sqref="C8">
    <cfRule type="cellIs" dxfId="2" priority="3" operator="equal">
      <formula>TRUE</formula>
    </cfRule>
  </conditionalFormatting>
  <conditionalFormatting sqref="C11">
    <cfRule type="cellIs" dxfId="1" priority="2" operator="equal">
      <formula>TRUE</formula>
    </cfRule>
  </conditionalFormatting>
  <conditionalFormatting sqref="C12">
    <cfRule type="cellIs" dxfId="0" priority="1" operator="equal">
      <formula>TRUE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2" width="17.6640625" customWidth="1"/>
    <col min="3" max="3" width="10.33203125" customWidth="1"/>
    <col min="4" max="4" width="15.88671875" customWidth="1"/>
    <col min="5" max="5" width="14.6640625" customWidth="1"/>
    <col min="6" max="6" width="5.44140625" customWidth="1"/>
    <col min="7" max="7" width="19.6640625" customWidth="1"/>
    <col min="8" max="8" width="10.44140625" customWidth="1"/>
    <col min="9" max="26" width="9" customWidth="1"/>
  </cols>
  <sheetData>
    <row r="1" spans="2:10" ht="14.4" x14ac:dyDescent="0.3">
      <c r="J1" s="20"/>
    </row>
    <row r="2" spans="2:10" ht="21" x14ac:dyDescent="0.4">
      <c r="B2" s="4" t="s">
        <v>115</v>
      </c>
      <c r="C2" s="9"/>
      <c r="D2" s="10"/>
      <c r="E2" s="10"/>
    </row>
    <row r="3" spans="2:10" ht="14.4" x14ac:dyDescent="0.3">
      <c r="D3" s="5"/>
      <c r="E3" s="5"/>
    </row>
    <row r="4" spans="2:10" ht="15.6" x14ac:dyDescent="0.3">
      <c r="B4" s="11" t="s">
        <v>116</v>
      </c>
      <c r="C4" s="11" t="s">
        <v>117</v>
      </c>
      <c r="D4" s="11" t="s">
        <v>118</v>
      </c>
      <c r="E4" s="33" t="s">
        <v>119</v>
      </c>
      <c r="G4" s="34" t="s">
        <v>120</v>
      </c>
      <c r="H4" s="34" t="s">
        <v>109</v>
      </c>
    </row>
    <row r="5" spans="2:10" ht="14.4" x14ac:dyDescent="0.3">
      <c r="B5" s="7" t="s">
        <v>121</v>
      </c>
      <c r="C5" s="31">
        <v>5500</v>
      </c>
      <c r="D5" s="35">
        <v>4.53</v>
      </c>
      <c r="E5" s="7" t="s">
        <v>122</v>
      </c>
      <c r="G5" s="7" t="s">
        <v>123</v>
      </c>
      <c r="H5" s="13">
        <f>COUNTIF(C5:C13,"&lt;5000")</f>
        <v>6</v>
      </c>
    </row>
    <row r="6" spans="2:10" ht="14.4" x14ac:dyDescent="0.3">
      <c r="B6" s="7" t="s">
        <v>124</v>
      </c>
      <c r="C6" s="31">
        <v>1800</v>
      </c>
      <c r="D6" s="35">
        <v>4.84</v>
      </c>
      <c r="E6" s="7" t="s">
        <v>125</v>
      </c>
      <c r="G6" s="7" t="s">
        <v>126</v>
      </c>
      <c r="H6" s="13">
        <f>COUNTIF(D5:D13,"&gt;4")</f>
        <v>4</v>
      </c>
    </row>
    <row r="7" spans="2:10" ht="14.4" x14ac:dyDescent="0.3">
      <c r="B7" s="7" t="s">
        <v>127</v>
      </c>
      <c r="C7" s="31">
        <v>2500</v>
      </c>
      <c r="D7" s="35">
        <v>2.2999999999999998</v>
      </c>
      <c r="E7" s="7" t="s">
        <v>125</v>
      </c>
      <c r="G7" s="7" t="s">
        <v>128</v>
      </c>
      <c r="H7" s="13">
        <f>COUNTIF(E5:E13,"да")</f>
        <v>3</v>
      </c>
    </row>
    <row r="8" spans="2:10" ht="14.4" x14ac:dyDescent="0.3">
      <c r="B8" s="7" t="s">
        <v>129</v>
      </c>
      <c r="C8" s="31">
        <v>4900</v>
      </c>
      <c r="D8" s="35">
        <v>2.1</v>
      </c>
      <c r="E8" s="7" t="s">
        <v>122</v>
      </c>
      <c r="G8" s="5"/>
    </row>
    <row r="9" spans="2:10" ht="14.4" x14ac:dyDescent="0.3">
      <c r="B9" s="7" t="s">
        <v>130</v>
      </c>
      <c r="C9" s="31">
        <v>4800</v>
      </c>
      <c r="D9" s="35">
        <v>1.23</v>
      </c>
      <c r="E9" s="7" t="s">
        <v>122</v>
      </c>
      <c r="G9" s="5"/>
    </row>
    <row r="10" spans="2:10" ht="14.4" x14ac:dyDescent="0.3">
      <c r="B10" s="24" t="s">
        <v>131</v>
      </c>
      <c r="C10" s="31">
        <v>5700</v>
      </c>
      <c r="D10" s="35">
        <v>4.34</v>
      </c>
      <c r="E10" s="7" t="s">
        <v>125</v>
      </c>
      <c r="G10" s="5"/>
    </row>
    <row r="11" spans="2:10" ht="14.4" x14ac:dyDescent="0.3">
      <c r="B11" s="7" t="s">
        <v>132</v>
      </c>
      <c r="C11" s="31">
        <v>2400</v>
      </c>
      <c r="D11" s="35">
        <v>2.2599999999999998</v>
      </c>
      <c r="E11" s="7" t="s">
        <v>125</v>
      </c>
    </row>
    <row r="12" spans="2:10" ht="14.4" x14ac:dyDescent="0.3">
      <c r="B12" s="7" t="s">
        <v>133</v>
      </c>
      <c r="C12" s="31">
        <v>3300</v>
      </c>
      <c r="D12" s="35">
        <v>4.8</v>
      </c>
      <c r="E12" s="7" t="s">
        <v>125</v>
      </c>
      <c r="G12" s="5"/>
    </row>
    <row r="13" spans="2:10" ht="14.4" x14ac:dyDescent="0.3">
      <c r="B13" s="7" t="s">
        <v>134</v>
      </c>
      <c r="C13" s="31">
        <v>6200</v>
      </c>
      <c r="D13" s="35">
        <v>3.24</v>
      </c>
      <c r="E13" s="7" t="s">
        <v>125</v>
      </c>
      <c r="G13" s="5"/>
    </row>
    <row r="14" spans="2:10" ht="14.4" x14ac:dyDescent="0.3"/>
    <row r="15" spans="2:10" ht="14.4" x14ac:dyDescent="0.3"/>
    <row r="16" spans="2:10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2" width="16.6640625" customWidth="1"/>
    <col min="3" max="3" width="16.5546875" customWidth="1"/>
    <col min="4" max="4" width="17.33203125" customWidth="1"/>
    <col min="5" max="5" width="8.109375" customWidth="1"/>
    <col min="6" max="6" width="8.6640625" customWidth="1"/>
    <col min="7" max="7" width="14.5546875" customWidth="1"/>
    <col min="8" max="8" width="11.33203125" customWidth="1"/>
    <col min="9" max="26" width="9" customWidth="1"/>
  </cols>
  <sheetData>
    <row r="1" spans="2:11" ht="14.4" x14ac:dyDescent="0.3">
      <c r="J1" s="20"/>
    </row>
    <row r="2" spans="2:11" ht="21" x14ac:dyDescent="0.4">
      <c r="B2" s="4" t="s">
        <v>135</v>
      </c>
      <c r="C2" s="9"/>
      <c r="D2" s="10"/>
    </row>
    <row r="3" spans="2:11" ht="14.4" x14ac:dyDescent="0.3">
      <c r="D3" s="5"/>
    </row>
    <row r="4" spans="2:11" ht="15.6" x14ac:dyDescent="0.3">
      <c r="B4" s="11" t="s">
        <v>136</v>
      </c>
      <c r="C4" s="11" t="s">
        <v>137</v>
      </c>
      <c r="D4" s="11" t="s">
        <v>138</v>
      </c>
      <c r="G4" s="36" t="s">
        <v>136</v>
      </c>
      <c r="H4" s="36" t="s">
        <v>5</v>
      </c>
    </row>
    <row r="5" spans="2:11" ht="14.4" x14ac:dyDescent="0.3">
      <c r="B5" s="37" t="s">
        <v>139</v>
      </c>
      <c r="C5" s="7" t="s">
        <v>140</v>
      </c>
      <c r="D5" s="38">
        <v>17000</v>
      </c>
      <c r="G5" s="7" t="s">
        <v>139</v>
      </c>
      <c r="H5" s="39">
        <f>SUMIF(B:B,G5,D:D)</f>
        <v>33000</v>
      </c>
      <c r="K5" s="5"/>
    </row>
    <row r="6" spans="2:11" ht="14.4" x14ac:dyDescent="0.3">
      <c r="B6" s="37" t="s">
        <v>141</v>
      </c>
      <c r="C6" s="7" t="s">
        <v>142</v>
      </c>
      <c r="D6" s="38">
        <v>14000</v>
      </c>
      <c r="K6" s="5"/>
    </row>
    <row r="7" spans="2:11" ht="14.4" x14ac:dyDescent="0.3">
      <c r="B7" s="37" t="s">
        <v>139</v>
      </c>
      <c r="C7" s="24" t="s">
        <v>142</v>
      </c>
      <c r="D7" s="38">
        <v>8000</v>
      </c>
      <c r="K7" s="5"/>
    </row>
    <row r="8" spans="2:11" ht="14.4" x14ac:dyDescent="0.3">
      <c r="B8" s="37" t="s">
        <v>143</v>
      </c>
      <c r="C8" s="7" t="s">
        <v>140</v>
      </c>
      <c r="D8" s="38">
        <v>13000</v>
      </c>
      <c r="K8" s="5"/>
    </row>
    <row r="9" spans="2:11" ht="14.4" x14ac:dyDescent="0.3">
      <c r="B9" s="37" t="s">
        <v>144</v>
      </c>
      <c r="C9" s="7" t="s">
        <v>140</v>
      </c>
      <c r="D9" s="38">
        <v>9000</v>
      </c>
      <c r="K9" s="5"/>
    </row>
    <row r="10" spans="2:11" ht="14.4" x14ac:dyDescent="0.3">
      <c r="B10" s="40" t="s">
        <v>145</v>
      </c>
      <c r="C10" s="24" t="s">
        <v>142</v>
      </c>
      <c r="D10" s="38">
        <v>22000</v>
      </c>
      <c r="K10" s="5"/>
    </row>
    <row r="11" spans="2:11" ht="14.4" x14ac:dyDescent="0.3">
      <c r="B11" s="37" t="s">
        <v>139</v>
      </c>
      <c r="C11" s="7" t="s">
        <v>142</v>
      </c>
      <c r="D11" s="38">
        <v>8000</v>
      </c>
    </row>
    <row r="12" spans="2:11" ht="14.4" x14ac:dyDescent="0.3">
      <c r="B12" s="37" t="s">
        <v>143</v>
      </c>
      <c r="C12" s="7" t="s">
        <v>140</v>
      </c>
      <c r="D12" s="38">
        <v>14000</v>
      </c>
      <c r="K12" s="5"/>
    </row>
    <row r="13" spans="2:11" ht="14.4" x14ac:dyDescent="0.3">
      <c r="B13" s="37" t="s">
        <v>145</v>
      </c>
      <c r="C13" s="7" t="s">
        <v>146</v>
      </c>
      <c r="D13" s="38">
        <v>16000</v>
      </c>
      <c r="K13" s="5"/>
    </row>
    <row r="14" spans="2:11" ht="14.4" x14ac:dyDescent="0.3"/>
    <row r="15" spans="2:11" ht="14.4" x14ac:dyDescent="0.3"/>
    <row r="16" spans="2:11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3" width="10.33203125" customWidth="1"/>
    <col min="4" max="4" width="11" customWidth="1"/>
    <col min="5" max="5" width="13.6640625" customWidth="1"/>
    <col min="6" max="6" width="5.44140625" customWidth="1"/>
    <col min="7" max="7" width="14.6640625" customWidth="1"/>
    <col min="8" max="8" width="10.44140625" customWidth="1"/>
    <col min="9" max="26" width="9" customWidth="1"/>
  </cols>
  <sheetData>
    <row r="1" spans="2:10" ht="14.4" x14ac:dyDescent="0.3">
      <c r="J1" s="20"/>
    </row>
    <row r="2" spans="2:10" ht="21" x14ac:dyDescent="0.4">
      <c r="B2" s="4" t="s">
        <v>147</v>
      </c>
      <c r="C2" s="9"/>
      <c r="D2" s="10"/>
      <c r="E2" s="10"/>
    </row>
    <row r="3" spans="2:10" ht="14.4" x14ac:dyDescent="0.3">
      <c r="D3" s="5"/>
      <c r="E3" s="5"/>
    </row>
    <row r="4" spans="2:10" ht="15.6" x14ac:dyDescent="0.3">
      <c r="B4" s="11" t="s">
        <v>148</v>
      </c>
      <c r="C4" s="11" t="s">
        <v>149</v>
      </c>
      <c r="D4" s="11" t="s">
        <v>150</v>
      </c>
      <c r="E4" s="33" t="s">
        <v>151</v>
      </c>
      <c r="G4" s="34" t="s">
        <v>120</v>
      </c>
      <c r="H4" s="34" t="s">
        <v>152</v>
      </c>
    </row>
    <row r="5" spans="2:10" ht="14.4" x14ac:dyDescent="0.3">
      <c r="B5" s="7" t="s">
        <v>153</v>
      </c>
      <c r="C5" s="31">
        <v>6500</v>
      </c>
      <c r="D5" s="7" t="s">
        <v>122</v>
      </c>
      <c r="E5" s="7">
        <v>3</v>
      </c>
      <c r="G5" s="7" t="s">
        <v>154</v>
      </c>
      <c r="H5" s="41">
        <f>AVERAGEIF(C:C,"&gt;5000")</f>
        <v>6733.333333333333</v>
      </c>
    </row>
    <row r="6" spans="2:10" ht="14.4" x14ac:dyDescent="0.3">
      <c r="B6" s="7" t="s">
        <v>155</v>
      </c>
      <c r="C6" s="31">
        <v>4500</v>
      </c>
      <c r="D6" s="7" t="s">
        <v>125</v>
      </c>
      <c r="E6" s="7">
        <v>2</v>
      </c>
      <c r="G6" s="7" t="s">
        <v>156</v>
      </c>
      <c r="H6" s="42">
        <f>AVERAGEIF(E5:E13,"&gt;=2",C5:C13)</f>
        <v>4085.7142857142858</v>
      </c>
    </row>
    <row r="7" spans="2:10" ht="14.4" x14ac:dyDescent="0.3">
      <c r="B7" s="7" t="s">
        <v>157</v>
      </c>
      <c r="C7" s="31">
        <v>4300</v>
      </c>
      <c r="D7" s="7" t="s">
        <v>125</v>
      </c>
      <c r="E7" s="7">
        <v>2</v>
      </c>
      <c r="G7" s="7" t="s">
        <v>158</v>
      </c>
      <c r="H7" s="41">
        <f>AVERAGEIF(D5:D13,"да",C5:C13)</f>
        <v>6125</v>
      </c>
    </row>
    <row r="8" spans="2:10" ht="14.4" x14ac:dyDescent="0.3">
      <c r="B8" s="7" t="s">
        <v>159</v>
      </c>
      <c r="C8" s="31">
        <v>6400</v>
      </c>
      <c r="D8" s="7" t="s">
        <v>122</v>
      </c>
      <c r="E8" s="7">
        <v>1</v>
      </c>
      <c r="G8" s="5"/>
    </row>
    <row r="9" spans="2:10" ht="14.4" x14ac:dyDescent="0.3">
      <c r="B9" s="7" t="s">
        <v>160</v>
      </c>
      <c r="C9" s="31">
        <v>7300</v>
      </c>
      <c r="D9" s="7" t="s">
        <v>122</v>
      </c>
      <c r="E9" s="7">
        <v>1</v>
      </c>
      <c r="G9" s="5"/>
    </row>
    <row r="10" spans="2:10" ht="14.4" x14ac:dyDescent="0.3">
      <c r="B10" s="24" t="s">
        <v>161</v>
      </c>
      <c r="C10" s="31">
        <v>3800</v>
      </c>
      <c r="D10" s="7" t="s">
        <v>125</v>
      </c>
      <c r="E10" s="7">
        <v>3</v>
      </c>
      <c r="G10" s="5"/>
    </row>
    <row r="11" spans="2:10" ht="14.4" x14ac:dyDescent="0.3">
      <c r="B11" s="7" t="s">
        <v>162</v>
      </c>
      <c r="C11" s="31">
        <v>4300</v>
      </c>
      <c r="D11" s="7" t="s">
        <v>122</v>
      </c>
      <c r="E11" s="7">
        <v>4</v>
      </c>
    </row>
    <row r="12" spans="2:10" ht="14.4" x14ac:dyDescent="0.3">
      <c r="B12" s="7" t="s">
        <v>163</v>
      </c>
      <c r="C12" s="31">
        <v>3700</v>
      </c>
      <c r="D12" s="7" t="s">
        <v>125</v>
      </c>
      <c r="E12" s="7">
        <v>2</v>
      </c>
      <c r="G12" s="5"/>
    </row>
    <row r="13" spans="2:10" ht="14.4" x14ac:dyDescent="0.3">
      <c r="B13" s="7" t="s">
        <v>164</v>
      </c>
      <c r="C13" s="31">
        <v>1500</v>
      </c>
      <c r="D13" s="7" t="s">
        <v>125</v>
      </c>
      <c r="E13" s="7">
        <v>2</v>
      </c>
      <c r="G13" s="5"/>
    </row>
    <row r="14" spans="2:10" ht="14.4" x14ac:dyDescent="0.3"/>
    <row r="15" spans="2:10" ht="14.4" x14ac:dyDescent="0.3"/>
    <row r="16" spans="2:10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3" width="11.33203125" customWidth="1"/>
    <col min="4" max="4" width="6.44140625" customWidth="1"/>
    <col min="5" max="5" width="17.44140625" customWidth="1"/>
    <col min="6" max="26" width="9" customWidth="1"/>
  </cols>
  <sheetData>
    <row r="1" spans="1:6" ht="14.4" x14ac:dyDescent="0.3"/>
    <row r="2" spans="1:6" ht="21" x14ac:dyDescent="0.4">
      <c r="B2" s="4" t="s">
        <v>165</v>
      </c>
      <c r="C2" s="4"/>
      <c r="D2" s="21" t="s">
        <v>166</v>
      </c>
      <c r="E2" s="10"/>
    </row>
    <row r="3" spans="1:6" ht="14.4" x14ac:dyDescent="0.3">
      <c r="E3" s="5"/>
    </row>
    <row r="4" spans="1:6" ht="15" customHeight="1" x14ac:dyDescent="0.3">
      <c r="B4" s="11" t="s">
        <v>167</v>
      </c>
      <c r="C4" s="11" t="s">
        <v>168</v>
      </c>
      <c r="E4" s="1" t="s">
        <v>169</v>
      </c>
    </row>
    <row r="5" spans="1:6" ht="14.4" x14ac:dyDescent="0.3">
      <c r="B5" s="7" t="s">
        <v>170</v>
      </c>
      <c r="C5" s="7">
        <v>58</v>
      </c>
      <c r="E5" s="1"/>
      <c r="F5" s="5"/>
    </row>
    <row r="6" spans="1:6" ht="14.4" x14ac:dyDescent="0.3">
      <c r="B6" s="7" t="s">
        <v>171</v>
      </c>
      <c r="C6" s="7">
        <v>30</v>
      </c>
      <c r="E6" s="13">
        <f>MIN(C5:C15)</f>
        <v>24</v>
      </c>
      <c r="F6" s="5"/>
    </row>
    <row r="7" spans="1:6" ht="15.6" x14ac:dyDescent="0.3">
      <c r="A7" s="43"/>
      <c r="B7" s="7" t="s">
        <v>172</v>
      </c>
      <c r="C7" s="7">
        <v>37</v>
      </c>
      <c r="F7" s="5"/>
    </row>
    <row r="8" spans="1:6" ht="15" customHeight="1" x14ac:dyDescent="0.3">
      <c r="A8" s="43"/>
      <c r="B8" s="44" t="s">
        <v>173</v>
      </c>
      <c r="C8" s="7">
        <v>96</v>
      </c>
      <c r="E8" s="1" t="s">
        <v>174</v>
      </c>
      <c r="F8" s="5"/>
    </row>
    <row r="9" spans="1:6" ht="15.6" x14ac:dyDescent="0.3">
      <c r="A9" s="43"/>
      <c r="B9" s="12" t="s">
        <v>175</v>
      </c>
      <c r="C9" s="7">
        <v>84</v>
      </c>
      <c r="E9" s="1"/>
      <c r="F9" s="5"/>
    </row>
    <row r="10" spans="1:6" ht="15.6" x14ac:dyDescent="0.3">
      <c r="A10" s="43"/>
      <c r="B10" s="12" t="s">
        <v>176</v>
      </c>
      <c r="C10" s="7">
        <v>89</v>
      </c>
      <c r="E10" s="13">
        <f>MAX(C5:C15)</f>
        <v>96</v>
      </c>
      <c r="F10" s="5"/>
    </row>
    <row r="11" spans="1:6" ht="15.6" x14ac:dyDescent="0.3">
      <c r="A11" s="43"/>
      <c r="B11" s="12" t="s">
        <v>177</v>
      </c>
      <c r="C11" s="7">
        <v>70</v>
      </c>
      <c r="D11" s="5"/>
    </row>
    <row r="12" spans="1:6" ht="15.6" x14ac:dyDescent="0.3">
      <c r="A12" s="43"/>
      <c r="B12" s="12" t="s">
        <v>178</v>
      </c>
      <c r="C12" s="7">
        <v>24</v>
      </c>
      <c r="D12" s="5"/>
      <c r="F12" s="5"/>
    </row>
    <row r="13" spans="1:6" ht="15.6" x14ac:dyDescent="0.3">
      <c r="A13" s="43"/>
      <c r="B13" s="16" t="s">
        <v>179</v>
      </c>
      <c r="C13" s="7">
        <v>62</v>
      </c>
      <c r="D13" s="5"/>
      <c r="F13" s="5"/>
    </row>
    <row r="14" spans="1:6" ht="14.4" x14ac:dyDescent="0.3">
      <c r="B14" s="7" t="s">
        <v>180</v>
      </c>
      <c r="C14" s="7">
        <v>78</v>
      </c>
      <c r="D14" s="5"/>
    </row>
    <row r="15" spans="1:6" ht="14.4" x14ac:dyDescent="0.3">
      <c r="B15" s="7" t="s">
        <v>181</v>
      </c>
      <c r="C15" s="7">
        <v>72</v>
      </c>
    </row>
    <row r="16" spans="1:6" ht="14.4" x14ac:dyDescent="0.3"/>
    <row r="17" ht="14.4" x14ac:dyDescent="0.3"/>
    <row r="18" ht="14.4" x14ac:dyDescent="0.3"/>
    <row r="19" ht="14.4" x14ac:dyDescent="0.3"/>
    <row r="20" ht="14.4" x14ac:dyDescent="0.3"/>
  </sheetData>
  <mergeCells count="2">
    <mergeCell ref="E4:E5"/>
    <mergeCell ref="E8:E9"/>
  </mergeCells>
  <pageMargins left="0.7" right="0.7" top="0.75" bottom="0.75" header="0.511811023622047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2" width="37.33203125" customWidth="1"/>
    <col min="3" max="3" width="35.109375" customWidth="1"/>
    <col min="4" max="4" width="26.5546875" customWidth="1"/>
    <col min="5" max="5" width="10.44140625" customWidth="1"/>
    <col min="6" max="26" width="9" customWidth="1"/>
  </cols>
  <sheetData>
    <row r="1" spans="2:10" ht="14.4" x14ac:dyDescent="0.3">
      <c r="J1" s="20"/>
    </row>
    <row r="2" spans="2:10" ht="21" x14ac:dyDescent="0.4">
      <c r="B2" s="4" t="s">
        <v>182</v>
      </c>
    </row>
    <row r="3" spans="2:10" ht="14.4" x14ac:dyDescent="0.3">
      <c r="C3" s="5"/>
    </row>
    <row r="4" spans="2:10" ht="15.6" x14ac:dyDescent="0.3">
      <c r="B4" s="11" t="s">
        <v>183</v>
      </c>
      <c r="C4" s="11" t="s">
        <v>5</v>
      </c>
    </row>
    <row r="5" spans="2:10" ht="14.4" x14ac:dyDescent="0.3">
      <c r="B5" s="7" t="s">
        <v>184</v>
      </c>
      <c r="C5" s="13" t="str">
        <f t="shared" ref="C5:C11" si="0">TRIM(B5)</f>
        <v>Лучшее - враг хорошего</v>
      </c>
    </row>
    <row r="6" spans="2:10" ht="14.4" x14ac:dyDescent="0.3">
      <c r="B6" s="7" t="s">
        <v>185</v>
      </c>
      <c r="C6" s="13" t="str">
        <f t="shared" si="0"/>
        <v>Семь раз отмерь - один раз отрежь</v>
      </c>
    </row>
    <row r="7" spans="2:10" ht="14.4" x14ac:dyDescent="0.3">
      <c r="B7" s="7" t="s">
        <v>186</v>
      </c>
      <c r="C7" s="13" t="str">
        <f t="shared" si="0"/>
        <v>Слово - не воробей</v>
      </c>
    </row>
    <row r="8" spans="2:10" ht="14.4" x14ac:dyDescent="0.3">
      <c r="B8" s="7" t="s">
        <v>187</v>
      </c>
      <c r="C8" s="13" t="str">
        <f t="shared" si="0"/>
        <v>Сделал дело - гуляй смело</v>
      </c>
    </row>
    <row r="9" spans="2:10" ht="14.4" x14ac:dyDescent="0.3">
      <c r="B9" s="7" t="s">
        <v>188</v>
      </c>
      <c r="C9" s="13" t="str">
        <f t="shared" si="0"/>
        <v>Цыплят по осени считают</v>
      </c>
    </row>
    <row r="10" spans="2:10" ht="14.4" x14ac:dyDescent="0.3">
      <c r="B10" s="24" t="s">
        <v>189</v>
      </c>
      <c r="C10" s="13" t="str">
        <f t="shared" si="0"/>
        <v>Береги честь смолоду</v>
      </c>
    </row>
    <row r="11" spans="2:10" ht="14.4" x14ac:dyDescent="0.3">
      <c r="B11" s="24" t="s">
        <v>190</v>
      </c>
      <c r="C11" s="13" t="str">
        <f t="shared" si="0"/>
        <v>Семеро одного не ждут</v>
      </c>
    </row>
    <row r="12" spans="2:10" ht="14.4" x14ac:dyDescent="0.3"/>
    <row r="13" spans="2:10" ht="14.4" x14ac:dyDescent="0.3"/>
    <row r="14" spans="2:10" ht="14.4" x14ac:dyDescent="0.3"/>
    <row r="15" spans="2:10" ht="14.4" x14ac:dyDescent="0.3"/>
    <row r="16" spans="2:10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2" width="10.109375" customWidth="1"/>
    <col min="3" max="3" width="28.33203125" customWidth="1"/>
    <col min="4" max="5" width="15.5546875" customWidth="1"/>
    <col min="6" max="6" width="5.44140625" customWidth="1"/>
    <col min="7" max="7" width="26.5546875" customWidth="1"/>
    <col min="8" max="8" width="10.44140625" customWidth="1"/>
    <col min="9" max="26" width="9" customWidth="1"/>
  </cols>
  <sheetData>
    <row r="1" spans="2:10" ht="14.4" x14ac:dyDescent="0.3">
      <c r="J1" s="20"/>
    </row>
    <row r="2" spans="2:10" ht="21" x14ac:dyDescent="0.4">
      <c r="B2" s="4" t="s">
        <v>191</v>
      </c>
      <c r="D2" s="21"/>
    </row>
    <row r="3" spans="2:10" ht="14.4" x14ac:dyDescent="0.3">
      <c r="D3" s="5"/>
      <c r="E3" s="5"/>
    </row>
    <row r="4" spans="2:10" ht="31.2" x14ac:dyDescent="0.3">
      <c r="B4" s="11" t="s">
        <v>192</v>
      </c>
      <c r="C4" s="11" t="s">
        <v>183</v>
      </c>
      <c r="D4" s="45" t="s">
        <v>193</v>
      </c>
      <c r="E4" s="45" t="s">
        <v>194</v>
      </c>
    </row>
    <row r="5" spans="2:10" ht="14.4" x14ac:dyDescent="0.3">
      <c r="B5" s="7" t="s">
        <v>195</v>
      </c>
      <c r="C5" s="46" t="s">
        <v>196</v>
      </c>
      <c r="D5" s="13">
        <f t="shared" ref="D5:D15" si="0">SEARCH(B5,C5)</f>
        <v>1</v>
      </c>
      <c r="E5" s="13">
        <f t="shared" ref="E5:E15" si="1">FIND(B5,C5)</f>
        <v>1</v>
      </c>
      <c r="F5" s="5" t="s">
        <v>197</v>
      </c>
    </row>
    <row r="6" spans="2:10" ht="14.4" x14ac:dyDescent="0.3">
      <c r="B6" s="7" t="s">
        <v>198</v>
      </c>
      <c r="C6" s="31" t="s">
        <v>199</v>
      </c>
      <c r="D6" s="13">
        <f t="shared" si="0"/>
        <v>3</v>
      </c>
      <c r="E6" s="13">
        <f t="shared" si="1"/>
        <v>3</v>
      </c>
      <c r="F6" s="5" t="s">
        <v>200</v>
      </c>
    </row>
    <row r="7" spans="2:10" ht="14.4" x14ac:dyDescent="0.3">
      <c r="B7" s="7" t="s">
        <v>201</v>
      </c>
      <c r="C7" s="31" t="s">
        <v>202</v>
      </c>
      <c r="D7" s="13">
        <f t="shared" si="0"/>
        <v>6</v>
      </c>
      <c r="E7" s="13">
        <f t="shared" si="1"/>
        <v>6</v>
      </c>
      <c r="F7" s="5" t="s">
        <v>203</v>
      </c>
    </row>
    <row r="8" spans="2:10" ht="14.4" x14ac:dyDescent="0.3">
      <c r="B8" s="7" t="s">
        <v>204</v>
      </c>
      <c r="C8" s="46" t="s">
        <v>205</v>
      </c>
      <c r="D8" s="13">
        <f t="shared" si="0"/>
        <v>1</v>
      </c>
      <c r="E8" s="13">
        <f t="shared" si="1"/>
        <v>12</v>
      </c>
      <c r="F8" s="5" t="s">
        <v>206</v>
      </c>
    </row>
    <row r="9" spans="2:10" ht="14.4" x14ac:dyDescent="0.3">
      <c r="B9" s="7" t="s">
        <v>207</v>
      </c>
      <c r="C9" s="46" t="s">
        <v>208</v>
      </c>
      <c r="D9" s="13">
        <f t="shared" si="0"/>
        <v>1</v>
      </c>
      <c r="E9" s="13">
        <f t="shared" si="1"/>
        <v>1</v>
      </c>
      <c r="F9" s="5" t="s">
        <v>206</v>
      </c>
    </row>
    <row r="10" spans="2:10" ht="14.4" x14ac:dyDescent="0.3">
      <c r="B10" s="24" t="s">
        <v>198</v>
      </c>
      <c r="C10" s="31" t="s">
        <v>209</v>
      </c>
      <c r="D10" s="13" t="e">
        <f t="shared" si="0"/>
        <v>#VALUE!</v>
      </c>
      <c r="E10" s="13" t="e">
        <f t="shared" si="1"/>
        <v>#VALUE!</v>
      </c>
      <c r="F10" s="5" t="s">
        <v>210</v>
      </c>
    </row>
    <row r="11" spans="2:10" ht="14.4" x14ac:dyDescent="0.3">
      <c r="B11" s="24" t="s">
        <v>211</v>
      </c>
      <c r="C11" s="46" t="s">
        <v>212</v>
      </c>
      <c r="D11" s="13">
        <f t="shared" si="0"/>
        <v>1</v>
      </c>
      <c r="E11" s="13" t="e">
        <f t="shared" si="1"/>
        <v>#VALUE!</v>
      </c>
      <c r="F11" s="5" t="s">
        <v>213</v>
      </c>
    </row>
    <row r="12" spans="2:10" ht="14.4" x14ac:dyDescent="0.3">
      <c r="B12" s="7"/>
      <c r="C12" s="31" t="s">
        <v>209</v>
      </c>
      <c r="D12" s="13">
        <f t="shared" si="0"/>
        <v>1</v>
      </c>
      <c r="E12" s="13">
        <f t="shared" si="1"/>
        <v>1</v>
      </c>
      <c r="F12" s="5" t="s">
        <v>214</v>
      </c>
    </row>
    <row r="13" spans="2:10" ht="14.4" x14ac:dyDescent="0.3">
      <c r="B13" s="7" t="s">
        <v>215</v>
      </c>
      <c r="C13" s="31" t="s">
        <v>216</v>
      </c>
      <c r="D13" s="13">
        <f t="shared" si="0"/>
        <v>7</v>
      </c>
      <c r="E13" s="13">
        <f t="shared" si="1"/>
        <v>7</v>
      </c>
      <c r="F13" s="5" t="s">
        <v>217</v>
      </c>
    </row>
    <row r="14" spans="2:10" ht="14.4" x14ac:dyDescent="0.3">
      <c r="B14" s="7" t="s">
        <v>218</v>
      </c>
      <c r="C14" s="31" t="s">
        <v>219</v>
      </c>
      <c r="D14" s="13">
        <f t="shared" si="0"/>
        <v>4</v>
      </c>
      <c r="E14" s="13">
        <f t="shared" si="1"/>
        <v>4</v>
      </c>
      <c r="F14" s="5" t="s">
        <v>220</v>
      </c>
    </row>
    <row r="15" spans="2:10" ht="14.4" x14ac:dyDescent="0.3">
      <c r="B15" s="24">
        <v>3</v>
      </c>
      <c r="C15" s="7">
        <v>131111</v>
      </c>
      <c r="D15" s="13">
        <f t="shared" si="0"/>
        <v>2</v>
      </c>
      <c r="E15" s="13">
        <f t="shared" si="1"/>
        <v>2</v>
      </c>
      <c r="F15" s="5" t="s">
        <v>221</v>
      </c>
    </row>
    <row r="16" spans="2:10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E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2" width="19.33203125" customWidth="1"/>
    <col min="3" max="3" width="15.6640625" customWidth="1"/>
    <col min="4" max="4" width="29.5546875" customWidth="1"/>
    <col min="5" max="5" width="25.33203125" customWidth="1"/>
    <col min="6" max="6" width="26.5546875" customWidth="1"/>
    <col min="7" max="26" width="9" customWidth="1"/>
  </cols>
  <sheetData>
    <row r="1" spans="2:5" ht="14.4" x14ac:dyDescent="0.3"/>
    <row r="2" spans="2:5" ht="21" x14ac:dyDescent="0.4">
      <c r="B2" s="21" t="s">
        <v>222</v>
      </c>
      <c r="C2" s="21"/>
      <c r="D2" s="4"/>
    </row>
    <row r="3" spans="2:5" ht="14.4" x14ac:dyDescent="0.3">
      <c r="D3" s="5"/>
    </row>
    <row r="4" spans="2:5" ht="15.6" x14ac:dyDescent="0.3">
      <c r="B4" s="11" t="s">
        <v>223</v>
      </c>
      <c r="C4" s="11" t="s">
        <v>224</v>
      </c>
      <c r="D4" s="11" t="s">
        <v>11</v>
      </c>
      <c r="E4" s="11" t="s">
        <v>225</v>
      </c>
    </row>
    <row r="5" spans="2:5" ht="14.4" x14ac:dyDescent="0.3">
      <c r="B5" s="7" t="s">
        <v>226</v>
      </c>
      <c r="C5" s="41" t="str">
        <f>SUBSTITUTE(B5,"у","о")</f>
        <v>Стол</v>
      </c>
      <c r="D5" s="47" t="s">
        <v>227</v>
      </c>
      <c r="E5" s="31" t="s">
        <v>228</v>
      </c>
    </row>
    <row r="6" spans="2:5" ht="14.4" x14ac:dyDescent="0.3">
      <c r="B6" s="7" t="s">
        <v>229</v>
      </c>
      <c r="C6" s="41" t="str">
        <f>SUBSTITUTE(B6,"о","и",2)</f>
        <v>Помидор</v>
      </c>
      <c r="D6" s="47" t="s">
        <v>230</v>
      </c>
      <c r="E6" s="31" t="s">
        <v>231</v>
      </c>
    </row>
    <row r="7" spans="2:5" ht="14.4" x14ac:dyDescent="0.3">
      <c r="B7" s="7" t="s">
        <v>232</v>
      </c>
      <c r="C7" s="41" t="str">
        <f>SUBSTITUTE(B7,"кот","тигр")</f>
        <v>Кот, тигр</v>
      </c>
      <c r="D7" s="47" t="s">
        <v>233</v>
      </c>
      <c r="E7" s="31" t="s">
        <v>234</v>
      </c>
    </row>
    <row r="8" spans="2:5" ht="14.4" x14ac:dyDescent="0.3">
      <c r="B8" s="7" t="s">
        <v>235</v>
      </c>
      <c r="C8" s="41" t="str">
        <f>SUBSTITUTE(B8,"#","")</f>
        <v>1825</v>
      </c>
      <c r="D8" s="47" t="s">
        <v>236</v>
      </c>
      <c r="E8" s="31" t="s">
        <v>237</v>
      </c>
    </row>
    <row r="9" spans="2:5" ht="14.4" x14ac:dyDescent="0.3"/>
    <row r="10" spans="2:5" ht="14.4" x14ac:dyDescent="0.3"/>
    <row r="11" spans="2:5" ht="14.4" x14ac:dyDescent="0.3"/>
    <row r="12" spans="2:5" ht="14.4" x14ac:dyDescent="0.3"/>
    <row r="13" spans="2:5" ht="14.4" x14ac:dyDescent="0.3"/>
    <row r="14" spans="2:5" ht="14.4" x14ac:dyDescent="0.3"/>
    <row r="15" spans="2:5" ht="14.4" x14ac:dyDescent="0.3"/>
    <row r="16" spans="2:5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H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2" width="20" customWidth="1"/>
    <col min="3" max="3" width="20.33203125" customWidth="1"/>
    <col min="4" max="4" width="8" customWidth="1"/>
    <col min="5" max="5" width="9" customWidth="1"/>
    <col min="6" max="6" width="11.33203125" customWidth="1"/>
    <col min="7" max="7" width="9" customWidth="1"/>
    <col min="8" max="8" width="11.33203125" customWidth="1"/>
    <col min="9" max="26" width="9" customWidth="1"/>
  </cols>
  <sheetData>
    <row r="1" spans="2:8" ht="14.4" x14ac:dyDescent="0.3"/>
    <row r="2" spans="2:8" ht="21" customHeight="1" x14ac:dyDescent="0.4">
      <c r="B2" s="4" t="s">
        <v>238</v>
      </c>
    </row>
    <row r="3" spans="2:8" ht="14.4" x14ac:dyDescent="0.3"/>
    <row r="4" spans="2:8" ht="15.6" x14ac:dyDescent="0.3">
      <c r="B4" s="11" t="s">
        <v>239</v>
      </c>
      <c r="C4" s="11" t="s">
        <v>240</v>
      </c>
    </row>
    <row r="5" spans="2:8" ht="14.4" x14ac:dyDescent="0.3">
      <c r="B5" s="12" t="s">
        <v>241</v>
      </c>
      <c r="C5" s="13" t="str">
        <f t="shared" ref="C5:C16" si="0">REPLACE(B5,5,4,"2026")</f>
        <v>ФГС-2026-01</v>
      </c>
      <c r="F5" s="18"/>
      <c r="H5" s="14"/>
    </row>
    <row r="6" spans="2:8" ht="14.4" x14ac:dyDescent="0.3">
      <c r="B6" s="12" t="s">
        <v>242</v>
      </c>
      <c r="C6" s="13" t="str">
        <f t="shared" si="0"/>
        <v>ФГС-2026-02</v>
      </c>
      <c r="H6" s="14"/>
    </row>
    <row r="7" spans="2:8" ht="14.4" x14ac:dyDescent="0.3">
      <c r="B7" s="12" t="s">
        <v>243</v>
      </c>
      <c r="C7" s="13" t="str">
        <f t="shared" si="0"/>
        <v>ФГС-2026-03</v>
      </c>
      <c r="H7" s="14"/>
    </row>
    <row r="8" spans="2:8" ht="14.4" x14ac:dyDescent="0.3">
      <c r="B8" s="12" t="s">
        <v>244</v>
      </c>
      <c r="C8" s="13" t="str">
        <f t="shared" si="0"/>
        <v>ААБ-2026-001</v>
      </c>
      <c r="H8" s="14"/>
    </row>
    <row r="9" spans="2:8" ht="14.4" x14ac:dyDescent="0.3">
      <c r="B9" s="12" t="s">
        <v>245</v>
      </c>
      <c r="C9" s="13" t="str">
        <f t="shared" si="0"/>
        <v>ААБ-2026-002</v>
      </c>
      <c r="H9" s="14"/>
    </row>
    <row r="10" spans="2:8" ht="14.4" x14ac:dyDescent="0.3">
      <c r="B10" s="12" t="s">
        <v>246</v>
      </c>
      <c r="C10" s="13" t="str">
        <f t="shared" si="0"/>
        <v>ААБ-2026-003</v>
      </c>
      <c r="H10" s="14"/>
    </row>
    <row r="11" spans="2:8" ht="14.4" x14ac:dyDescent="0.3">
      <c r="B11" s="12" t="s">
        <v>247</v>
      </c>
      <c r="C11" s="13" t="str">
        <f t="shared" si="0"/>
        <v>ААБ-2026-004</v>
      </c>
      <c r="H11" s="14"/>
    </row>
    <row r="12" spans="2:8" ht="14.4" x14ac:dyDescent="0.3">
      <c r="B12" s="12" t="s">
        <v>248</v>
      </c>
      <c r="C12" s="13" t="str">
        <f t="shared" si="0"/>
        <v>НАР-2026-875</v>
      </c>
      <c r="H12" s="14"/>
    </row>
    <row r="13" spans="2:8" ht="14.4" x14ac:dyDescent="0.3">
      <c r="B13" s="12" t="s">
        <v>249</v>
      </c>
      <c r="C13" s="13" t="str">
        <f t="shared" si="0"/>
        <v>НАР-2026-876</v>
      </c>
      <c r="H13" s="14"/>
    </row>
    <row r="14" spans="2:8" ht="14.4" x14ac:dyDescent="0.3">
      <c r="B14" s="12" t="s">
        <v>250</v>
      </c>
      <c r="C14" s="13" t="str">
        <f t="shared" si="0"/>
        <v>НАР-2026-877</v>
      </c>
    </row>
    <row r="15" spans="2:8" ht="14.4" x14ac:dyDescent="0.3">
      <c r="B15" s="12" t="s">
        <v>251</v>
      </c>
      <c r="C15" s="13" t="str">
        <f t="shared" si="0"/>
        <v>ПУИ-2026-003</v>
      </c>
    </row>
    <row r="16" spans="2:8" ht="14.4" x14ac:dyDescent="0.3">
      <c r="B16" s="12" t="s">
        <v>252</v>
      </c>
      <c r="C16" s="13" t="str">
        <f t="shared" si="0"/>
        <v>ПУИ-2026-004</v>
      </c>
    </row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E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2" width="19.33203125" customWidth="1"/>
    <col min="3" max="3" width="12.6640625" customWidth="1"/>
    <col min="4" max="4" width="19.6640625" customWidth="1"/>
    <col min="5" max="5" width="5.44140625" customWidth="1"/>
    <col min="6" max="6" width="26.5546875" customWidth="1"/>
    <col min="7" max="26" width="9" customWidth="1"/>
  </cols>
  <sheetData>
    <row r="1" spans="2:5" ht="14.4" x14ac:dyDescent="0.3"/>
    <row r="2" spans="2:5" ht="21" x14ac:dyDescent="0.4">
      <c r="B2" s="21" t="s">
        <v>253</v>
      </c>
      <c r="C2" s="21" t="s">
        <v>254</v>
      </c>
      <c r="D2" s="4"/>
    </row>
    <row r="3" spans="2:5" ht="14.4" x14ac:dyDescent="0.3">
      <c r="D3" s="5"/>
    </row>
    <row r="4" spans="2:5" ht="15.6" x14ac:dyDescent="0.3">
      <c r="B4" s="11" t="s">
        <v>192</v>
      </c>
      <c r="C4" s="11" t="s">
        <v>5</v>
      </c>
      <c r="D4" s="11" t="s">
        <v>11</v>
      </c>
    </row>
    <row r="5" spans="2:5" ht="14.4" x14ac:dyDescent="0.3">
      <c r="B5" s="7" t="s">
        <v>255</v>
      </c>
      <c r="C5" s="41" t="str">
        <f>LEFT(B5)</f>
        <v>А</v>
      </c>
      <c r="D5" s="47" t="s">
        <v>256</v>
      </c>
      <c r="E5" s="5"/>
    </row>
    <row r="6" spans="2:5" ht="14.4" x14ac:dyDescent="0.3">
      <c r="B6" s="7" t="s">
        <v>255</v>
      </c>
      <c r="C6" s="41" t="str">
        <f>RIGHT(B6)</f>
        <v>В</v>
      </c>
      <c r="D6" s="47" t="s">
        <v>257</v>
      </c>
      <c r="E6" s="5"/>
    </row>
    <row r="7" spans="2:5" ht="14.4" x14ac:dyDescent="0.3">
      <c r="E7" s="5"/>
    </row>
    <row r="8" spans="2:5" ht="14.4" x14ac:dyDescent="0.3">
      <c r="B8" s="7" t="s">
        <v>258</v>
      </c>
      <c r="C8" s="41" t="str">
        <f>LEFT(B8,4)</f>
        <v>Мама</v>
      </c>
      <c r="D8" s="47" t="s">
        <v>259</v>
      </c>
      <c r="E8" s="5"/>
    </row>
    <row r="9" spans="2:5" ht="14.4" x14ac:dyDescent="0.3">
      <c r="B9" s="7" t="s">
        <v>258</v>
      </c>
      <c r="C9" s="41" t="str">
        <f>RIGHT(B9,4)</f>
        <v>раму</v>
      </c>
      <c r="D9" s="47" t="s">
        <v>260</v>
      </c>
      <c r="E9" s="5"/>
    </row>
    <row r="10" spans="2:5" ht="14.4" x14ac:dyDescent="0.3">
      <c r="E10" s="5"/>
    </row>
    <row r="11" spans="2:5" ht="14.4" x14ac:dyDescent="0.3">
      <c r="B11" s="24" t="s">
        <v>261</v>
      </c>
      <c r="C11" s="41" t="str">
        <f>LEFT(B11,3)</f>
        <v>909</v>
      </c>
      <c r="D11" s="47" t="s">
        <v>262</v>
      </c>
      <c r="E11" s="5"/>
    </row>
    <row r="12" spans="2:5" ht="14.4" x14ac:dyDescent="0.3">
      <c r="B12" s="24" t="s">
        <v>261</v>
      </c>
      <c r="C12" s="41" t="str">
        <f>RIGHT(B12,5)</f>
        <v>66-55</v>
      </c>
      <c r="D12" s="47" t="s">
        <v>263</v>
      </c>
      <c r="E12" s="5"/>
    </row>
    <row r="13" spans="2:5" ht="14.4" x14ac:dyDescent="0.3"/>
    <row r="14" spans="2:5" ht="14.4" x14ac:dyDescent="0.3">
      <c r="B14" s="48" t="s">
        <v>264</v>
      </c>
      <c r="C14" s="41" t="str">
        <f>LEFT(B14,4)</f>
        <v>7500</v>
      </c>
      <c r="D14" s="47" t="s">
        <v>265</v>
      </c>
    </row>
    <row r="15" spans="2:5" ht="14.4" x14ac:dyDescent="0.3">
      <c r="B15" s="48" t="s">
        <v>264</v>
      </c>
      <c r="C15" s="41" t="str">
        <f>RIGHT(B15,6)</f>
        <v>221155</v>
      </c>
      <c r="D15" s="47" t="s">
        <v>266</v>
      </c>
    </row>
    <row r="16" spans="2:5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E20"/>
  <sheetViews>
    <sheetView topLeftCell="AH1" zoomScaleNormal="100" workbookViewId="0"/>
  </sheetViews>
  <sheetFormatPr defaultColWidth="14.44140625" defaultRowHeight="15" customHeight="1" x14ac:dyDescent="0.3"/>
  <cols>
    <col min="1" max="1" width="9" customWidth="1"/>
    <col min="3" max="3" width="21.33203125" customWidth="1"/>
    <col min="4" max="4" width="16.33203125" customWidth="1"/>
    <col min="5" max="5" width="26.5546875" customWidth="1"/>
    <col min="6" max="6" width="10.44140625" customWidth="1"/>
    <col min="7" max="26" width="9" customWidth="1"/>
  </cols>
  <sheetData>
    <row r="1" spans="2:5" ht="14.4" x14ac:dyDescent="0.3"/>
    <row r="2" spans="2:5" ht="21" x14ac:dyDescent="0.4">
      <c r="B2" s="4" t="s">
        <v>267</v>
      </c>
      <c r="E2" s="49"/>
    </row>
    <row r="3" spans="2:5" ht="14.4" x14ac:dyDescent="0.3">
      <c r="C3" s="5"/>
    </row>
    <row r="4" spans="2:5" ht="15.6" x14ac:dyDescent="0.3">
      <c r="B4" s="11" t="s">
        <v>183</v>
      </c>
      <c r="C4" s="11" t="s">
        <v>5</v>
      </c>
    </row>
    <row r="5" spans="2:5" ht="14.4" x14ac:dyDescent="0.3">
      <c r="B5" s="7" t="s">
        <v>268</v>
      </c>
      <c r="C5" s="13">
        <f t="shared" ref="C5:C15" si="0">LEN(B5)</f>
        <v>3</v>
      </c>
      <c r="D5" s="5" t="s">
        <v>269</v>
      </c>
    </row>
    <row r="6" spans="2:5" ht="14.4" x14ac:dyDescent="0.3">
      <c r="B6" s="7" t="s">
        <v>270</v>
      </c>
      <c r="C6" s="13">
        <f t="shared" si="0"/>
        <v>4</v>
      </c>
      <c r="D6" s="5" t="s">
        <v>271</v>
      </c>
    </row>
    <row r="7" spans="2:5" ht="14.4" x14ac:dyDescent="0.3">
      <c r="B7" s="7" t="s">
        <v>272</v>
      </c>
      <c r="C7" s="13">
        <f t="shared" si="0"/>
        <v>3</v>
      </c>
      <c r="D7" s="5" t="s">
        <v>273</v>
      </c>
    </row>
    <row r="8" spans="2:5" ht="14.4" x14ac:dyDescent="0.3">
      <c r="B8" s="7" t="s">
        <v>274</v>
      </c>
      <c r="C8" s="13">
        <f t="shared" si="0"/>
        <v>11</v>
      </c>
      <c r="D8" s="5" t="s">
        <v>275</v>
      </c>
    </row>
    <row r="9" spans="2:5" ht="14.4" x14ac:dyDescent="0.3">
      <c r="B9" s="7"/>
      <c r="C9" s="13">
        <f t="shared" si="0"/>
        <v>0</v>
      </c>
      <c r="D9" s="5" t="s">
        <v>276</v>
      </c>
    </row>
    <row r="10" spans="2:5" ht="14.4" x14ac:dyDescent="0.3">
      <c r="B10" s="24">
        <v>1000</v>
      </c>
      <c r="C10" s="13">
        <f t="shared" si="0"/>
        <v>4</v>
      </c>
      <c r="D10" s="5" t="s">
        <v>277</v>
      </c>
    </row>
    <row r="11" spans="2:5" ht="14.4" x14ac:dyDescent="0.3">
      <c r="B11" s="50">
        <v>1000</v>
      </c>
      <c r="C11" s="13">
        <f t="shared" si="0"/>
        <v>4</v>
      </c>
      <c r="D11" s="5" t="s">
        <v>278</v>
      </c>
    </row>
    <row r="12" spans="2:5" ht="14.4" x14ac:dyDescent="0.3">
      <c r="B12" s="12">
        <v>47112</v>
      </c>
      <c r="C12" s="13">
        <f t="shared" si="0"/>
        <v>5</v>
      </c>
      <c r="D12" s="5" t="s">
        <v>279</v>
      </c>
    </row>
    <row r="13" spans="2:5" ht="14.4" x14ac:dyDescent="0.3">
      <c r="B13" s="7">
        <v>106.99</v>
      </c>
      <c r="C13" s="13">
        <f t="shared" si="0"/>
        <v>6</v>
      </c>
      <c r="D13" s="5" t="s">
        <v>280</v>
      </c>
    </row>
    <row r="14" spans="2:5" ht="14.4" x14ac:dyDescent="0.3">
      <c r="B14" s="51">
        <v>3.14159265358979</v>
      </c>
      <c r="C14" s="13">
        <f t="shared" si="0"/>
        <v>16</v>
      </c>
      <c r="D14" s="5" t="s">
        <v>281</v>
      </c>
    </row>
    <row r="15" spans="2:5" ht="14.4" x14ac:dyDescent="0.3">
      <c r="B15" s="35">
        <v>-1.75</v>
      </c>
      <c r="C15" s="13">
        <f t="shared" si="0"/>
        <v>5</v>
      </c>
      <c r="D15" s="5" t="s">
        <v>282</v>
      </c>
    </row>
    <row r="16" spans="2:5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3" width="12.44140625" customWidth="1"/>
    <col min="4" max="4" width="13.109375" customWidth="1"/>
    <col min="5" max="5" width="29.33203125" customWidth="1"/>
    <col min="6" max="26" width="9" customWidth="1"/>
  </cols>
  <sheetData>
    <row r="1" spans="2:9" ht="14.4" x14ac:dyDescent="0.3">
      <c r="I1" s="20"/>
    </row>
    <row r="2" spans="2:9" ht="21" x14ac:dyDescent="0.4">
      <c r="B2" s="4" t="s">
        <v>283</v>
      </c>
      <c r="C2" s="9"/>
      <c r="D2" s="21"/>
      <c r="E2" s="10"/>
    </row>
    <row r="3" spans="2:9" ht="14.4" x14ac:dyDescent="0.3">
      <c r="D3" s="5"/>
      <c r="E3" s="5" t="s">
        <v>284</v>
      </c>
    </row>
    <row r="4" spans="2:9" ht="15.6" x14ac:dyDescent="0.3">
      <c r="B4" s="11" t="s">
        <v>69</v>
      </c>
      <c r="C4" s="11" t="s">
        <v>70</v>
      </c>
      <c r="D4" s="11" t="s">
        <v>71</v>
      </c>
      <c r="E4" s="33" t="s">
        <v>285</v>
      </c>
    </row>
    <row r="5" spans="2:9" ht="14.4" x14ac:dyDescent="0.3">
      <c r="B5" s="7" t="s">
        <v>286</v>
      </c>
      <c r="C5" s="31" t="s">
        <v>287</v>
      </c>
      <c r="D5" s="35" t="s">
        <v>288</v>
      </c>
      <c r="E5" s="13" t="str">
        <f>CONCATENATE(B5,", ",C5,", ",D5)</f>
        <v>А, Б, В</v>
      </c>
    </row>
    <row r="6" spans="2:9" ht="14.4" x14ac:dyDescent="0.3">
      <c r="B6" s="7">
        <v>1</v>
      </c>
      <c r="C6" s="7">
        <v>2</v>
      </c>
      <c r="D6" s="35">
        <v>3</v>
      </c>
      <c r="E6" s="13" t="str">
        <f>CONCATENATE(B6,", ",C6,", ",D6)</f>
        <v>1, 2, 3</v>
      </c>
    </row>
    <row r="7" spans="2:9" ht="14.4" x14ac:dyDescent="0.3">
      <c r="B7" s="7" t="s">
        <v>289</v>
      </c>
      <c r="C7" s="31" t="s">
        <v>290</v>
      </c>
      <c r="D7" s="35" t="s">
        <v>291</v>
      </c>
      <c r="E7" s="13" t="str">
        <f>CONCATENATE(B7,", ",C7,", ",D7)</f>
        <v>сливы, яблоки, груши</v>
      </c>
    </row>
    <row r="8" spans="2:9" ht="14.4" x14ac:dyDescent="0.3">
      <c r="B8" s="7" t="s">
        <v>292</v>
      </c>
      <c r="C8" s="31" t="s">
        <v>293</v>
      </c>
      <c r="D8" s="35" t="s">
        <v>294</v>
      </c>
      <c r="E8" s="13" t="str">
        <f>CONCATENATE(B8,", ",C8,", ",D8)</f>
        <v>красный, синий, зеленый</v>
      </c>
    </row>
    <row r="9" spans="2:9" ht="14.4" x14ac:dyDescent="0.3"/>
    <row r="10" spans="2:9" ht="14.4" x14ac:dyDescent="0.3">
      <c r="E10" s="5" t="s">
        <v>295</v>
      </c>
    </row>
    <row r="11" spans="2:9" ht="14.4" x14ac:dyDescent="0.3">
      <c r="B11" s="7" t="s">
        <v>292</v>
      </c>
      <c r="C11" s="31" t="s">
        <v>293</v>
      </c>
      <c r="D11" s="35"/>
      <c r="E11" s="13" t="str">
        <f>CONCATENATE(B11," и ",C11)</f>
        <v>красный и синий</v>
      </c>
    </row>
    <row r="12" spans="2:9" ht="14.4" x14ac:dyDescent="0.3"/>
    <row r="13" spans="2:9" ht="14.4" x14ac:dyDescent="0.3">
      <c r="E13" s="5" t="s">
        <v>296</v>
      </c>
    </row>
    <row r="14" spans="2:9" ht="15.6" x14ac:dyDescent="0.3">
      <c r="B14" s="11" t="s">
        <v>297</v>
      </c>
      <c r="C14" s="11" t="s">
        <v>298</v>
      </c>
      <c r="D14" s="11" t="s">
        <v>299</v>
      </c>
      <c r="E14" s="33" t="s">
        <v>285</v>
      </c>
    </row>
    <row r="15" spans="2:9" ht="14.4" x14ac:dyDescent="0.3">
      <c r="B15" s="7" t="s">
        <v>300</v>
      </c>
      <c r="C15" s="31" t="s">
        <v>301</v>
      </c>
      <c r="D15" s="35" t="s">
        <v>302</v>
      </c>
      <c r="E15" s="13" t="str">
        <f>CONCATENATE(B15,", ",C15," ",D15)</f>
        <v>Петр, Петрович Уважаемый</v>
      </c>
    </row>
    <row r="16" spans="2:9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G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2" width="18.88671875" customWidth="1"/>
    <col min="3" max="3" width="16.44140625" customWidth="1"/>
    <col min="4" max="4" width="15.33203125" customWidth="1"/>
    <col min="5" max="5" width="16.6640625" customWidth="1"/>
    <col min="6" max="6" width="5.44140625" customWidth="1"/>
    <col min="7" max="7" width="19.6640625" customWidth="1"/>
    <col min="8" max="26" width="9" customWidth="1"/>
  </cols>
  <sheetData>
    <row r="1" spans="2:7" ht="14.4" x14ac:dyDescent="0.3"/>
    <row r="2" spans="2:7" ht="21" x14ac:dyDescent="0.4">
      <c r="B2" s="4" t="s">
        <v>303</v>
      </c>
      <c r="C2" s="21" t="s">
        <v>304</v>
      </c>
      <c r="D2" s="10"/>
      <c r="E2" s="10" t="s">
        <v>305</v>
      </c>
    </row>
    <row r="3" spans="2:7" ht="14.4" x14ac:dyDescent="0.3">
      <c r="D3" s="5"/>
      <c r="E3" s="5"/>
    </row>
    <row r="4" spans="2:7" ht="15.6" x14ac:dyDescent="0.3">
      <c r="B4" s="11" t="s">
        <v>116</v>
      </c>
      <c r="C4" s="11" t="s">
        <v>303</v>
      </c>
      <c r="D4" s="11" t="s">
        <v>304</v>
      </c>
      <c r="E4" s="33" t="s">
        <v>306</v>
      </c>
    </row>
    <row r="5" spans="2:7" ht="14.4" x14ac:dyDescent="0.3">
      <c r="B5" s="7" t="s">
        <v>307</v>
      </c>
      <c r="C5" s="41" t="str">
        <f t="shared" ref="C5:C13" si="0">LOWER(B5)</f>
        <v>книга</v>
      </c>
      <c r="D5" s="22" t="str">
        <f t="shared" ref="D5:D13" si="1">PROPER(B5)</f>
        <v>Книга</v>
      </c>
      <c r="E5" s="13" t="str">
        <f t="shared" ref="E5:E13" si="2">UPPER(B5)</f>
        <v>КНИГА</v>
      </c>
    </row>
    <row r="6" spans="2:7" ht="14.4" x14ac:dyDescent="0.3">
      <c r="B6" s="7" t="s">
        <v>308</v>
      </c>
      <c r="C6" s="41" t="str">
        <f t="shared" si="0"/>
        <v>книга</v>
      </c>
      <c r="D6" s="22" t="str">
        <f t="shared" si="1"/>
        <v>Книга</v>
      </c>
      <c r="E6" s="13" t="str">
        <f t="shared" si="2"/>
        <v>КНИГА</v>
      </c>
    </row>
    <row r="7" spans="2:7" ht="14.4" x14ac:dyDescent="0.3">
      <c r="B7" s="7" t="s">
        <v>309</v>
      </c>
      <c r="C7" s="41" t="str">
        <f t="shared" si="0"/>
        <v>а.с. пушкин</v>
      </c>
      <c r="D7" s="22" t="str">
        <f t="shared" si="1"/>
        <v>А.С. Пушкин</v>
      </c>
      <c r="E7" s="13" t="str">
        <f t="shared" si="2"/>
        <v>А.С. ПУШКИН</v>
      </c>
    </row>
    <row r="8" spans="2:7" ht="14.4" x14ac:dyDescent="0.3">
      <c r="B8" s="7" t="s">
        <v>310</v>
      </c>
      <c r="C8" s="41" t="str">
        <f t="shared" si="0"/>
        <v>яблоки, груши</v>
      </c>
      <c r="D8" s="22" t="str">
        <f t="shared" si="1"/>
        <v>Яблоки, Груши</v>
      </c>
      <c r="E8" s="13" t="str">
        <f t="shared" si="2"/>
        <v>ЯБЛОКИ, ГРУШИ</v>
      </c>
    </row>
    <row r="9" spans="2:7" ht="14.4" x14ac:dyDescent="0.3">
      <c r="B9" s="7" t="s">
        <v>311</v>
      </c>
      <c r="C9" s="41" t="str">
        <f t="shared" si="0"/>
        <v>ик-0002536</v>
      </c>
      <c r="D9" s="22" t="str">
        <f t="shared" si="1"/>
        <v>Ик-0002536</v>
      </c>
      <c r="E9" s="13" t="str">
        <f t="shared" si="2"/>
        <v>ИК-0002536</v>
      </c>
    </row>
    <row r="10" spans="2:7" ht="14.4" x14ac:dyDescent="0.3">
      <c r="B10" s="7" t="s">
        <v>312</v>
      </c>
      <c r="C10" s="41" t="str">
        <f t="shared" si="0"/>
        <v>ик-0002536-чб</v>
      </c>
      <c r="D10" s="22" t="str">
        <f t="shared" si="1"/>
        <v>Ик-0002536-Чб</v>
      </c>
      <c r="E10" s="13" t="str">
        <f t="shared" si="2"/>
        <v>ИК-0002536-ЧБ</v>
      </c>
      <c r="F10" s="5"/>
    </row>
    <row r="11" spans="2:7" ht="14.4" x14ac:dyDescent="0.3">
      <c r="B11" s="7">
        <v>12345</v>
      </c>
      <c r="C11" s="41" t="str">
        <f t="shared" si="0"/>
        <v>12345</v>
      </c>
      <c r="D11" s="22" t="str">
        <f t="shared" si="1"/>
        <v>12345</v>
      </c>
      <c r="E11" s="13" t="str">
        <f t="shared" si="2"/>
        <v>12345</v>
      </c>
      <c r="F11" s="5" t="s">
        <v>313</v>
      </c>
    </row>
    <row r="12" spans="2:7" ht="14.4" x14ac:dyDescent="0.3">
      <c r="B12" s="50">
        <v>10000</v>
      </c>
      <c r="C12" s="41" t="str">
        <f t="shared" si="0"/>
        <v>10000</v>
      </c>
      <c r="D12" s="22" t="str">
        <f t="shared" si="1"/>
        <v>10000</v>
      </c>
      <c r="E12" s="13" t="str">
        <f t="shared" si="2"/>
        <v>10000</v>
      </c>
      <c r="F12" s="5" t="s">
        <v>314</v>
      </c>
      <c r="G12" s="5"/>
    </row>
    <row r="13" spans="2:7" ht="14.4" x14ac:dyDescent="0.3">
      <c r="B13" s="12">
        <v>47112</v>
      </c>
      <c r="C13" s="41" t="str">
        <f t="shared" si="0"/>
        <v>47112</v>
      </c>
      <c r="D13" s="22" t="str">
        <f t="shared" si="1"/>
        <v>47112</v>
      </c>
      <c r="E13" s="13" t="str">
        <f t="shared" si="2"/>
        <v>47112</v>
      </c>
      <c r="F13" s="5" t="s">
        <v>314</v>
      </c>
      <c r="G13" s="5"/>
    </row>
    <row r="14" spans="2:7" ht="14.4" x14ac:dyDescent="0.3"/>
    <row r="15" spans="2:7" ht="14.4" x14ac:dyDescent="0.3"/>
    <row r="16" spans="2:7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0"/>
  <sheetViews>
    <sheetView zoomScale="85" zoomScaleNormal="85" workbookViewId="0"/>
  </sheetViews>
  <sheetFormatPr defaultColWidth="14.44140625" defaultRowHeight="15" customHeight="1" x14ac:dyDescent="0.3"/>
  <cols>
    <col min="1" max="1" width="9" customWidth="1"/>
    <col min="2" max="2" width="11.33203125" customWidth="1"/>
    <col min="3" max="4" width="13.33203125" customWidth="1"/>
    <col min="5" max="5" width="4" customWidth="1"/>
    <col min="6" max="6" width="12" customWidth="1"/>
    <col min="7" max="26" width="9" customWidth="1"/>
  </cols>
  <sheetData>
    <row r="1" spans="1:10" ht="14.4" x14ac:dyDescent="0.3">
      <c r="J1" s="20"/>
    </row>
    <row r="2" spans="1:10" ht="21" x14ac:dyDescent="0.4">
      <c r="B2" s="4" t="s">
        <v>315</v>
      </c>
      <c r="C2" s="4"/>
      <c r="D2" s="21" t="s">
        <v>316</v>
      </c>
    </row>
    <row r="3" spans="1:10" ht="14.4" x14ac:dyDescent="0.3"/>
    <row r="4" spans="1:10" ht="31.2" x14ac:dyDescent="0.3">
      <c r="B4" s="11" t="s">
        <v>317</v>
      </c>
      <c r="C4" s="45" t="s">
        <v>318</v>
      </c>
      <c r="D4" s="45" t="s">
        <v>319</v>
      </c>
      <c r="G4" s="34" t="s">
        <v>320</v>
      </c>
    </row>
    <row r="5" spans="1:10" ht="14.4" x14ac:dyDescent="0.3">
      <c r="B5" s="7" t="s">
        <v>111</v>
      </c>
      <c r="C5" s="52"/>
      <c r="D5" s="7" t="str">
        <f t="shared" ref="D5:D15" si="0">IF(COUNTA(B5)&gt;0,"да","")</f>
        <v>да</v>
      </c>
      <c r="E5" s="5" t="s">
        <v>321</v>
      </c>
      <c r="G5" s="13">
        <f>COUNT(B5:B15)</f>
        <v>6</v>
      </c>
    </row>
    <row r="6" spans="1:10" ht="14.4" x14ac:dyDescent="0.3">
      <c r="B6" s="7">
        <v>18</v>
      </c>
      <c r="C6" s="52" t="str">
        <f t="shared" ref="C6:C15" si="1">IF(COUNT(B6)&gt;0,"да","")</f>
        <v>да</v>
      </c>
      <c r="D6" s="7" t="str">
        <f t="shared" si="0"/>
        <v>да</v>
      </c>
      <c r="E6" s="5" t="s">
        <v>322</v>
      </c>
    </row>
    <row r="7" spans="1:10" ht="15.6" x14ac:dyDescent="0.3">
      <c r="A7" s="43"/>
      <c r="B7" s="44">
        <v>0.73</v>
      </c>
      <c r="C7" s="52" t="str">
        <f t="shared" si="1"/>
        <v>да</v>
      </c>
      <c r="D7" s="7" t="str">
        <f t="shared" si="0"/>
        <v>да</v>
      </c>
      <c r="E7" s="5" t="s">
        <v>323</v>
      </c>
      <c r="G7" s="34" t="s">
        <v>316</v>
      </c>
    </row>
    <row r="8" spans="1:10" ht="15.6" x14ac:dyDescent="0.3">
      <c r="A8" s="43"/>
      <c r="B8" s="7">
        <v>4.4000000000000004</v>
      </c>
      <c r="C8" s="52" t="str">
        <f t="shared" si="1"/>
        <v>да</v>
      </c>
      <c r="D8" s="7" t="str">
        <f t="shared" si="0"/>
        <v>да</v>
      </c>
      <c r="E8" s="5" t="s">
        <v>324</v>
      </c>
      <c r="G8" s="13">
        <f>COUNTA(B5:B15)</f>
        <v>10</v>
      </c>
    </row>
    <row r="9" spans="1:10" ht="15.6" x14ac:dyDescent="0.3">
      <c r="A9" s="43"/>
      <c r="B9" s="24">
        <v>-1</v>
      </c>
      <c r="C9" s="52" t="str">
        <f t="shared" si="1"/>
        <v>да</v>
      </c>
      <c r="D9" s="7" t="str">
        <f t="shared" si="0"/>
        <v>да</v>
      </c>
      <c r="E9" s="5" t="s">
        <v>76</v>
      </c>
      <c r="G9" s="5"/>
    </row>
    <row r="10" spans="1:10" ht="15.6" x14ac:dyDescent="0.3">
      <c r="A10" s="43"/>
      <c r="B10" s="7" t="s">
        <v>325</v>
      </c>
      <c r="C10" s="52" t="str">
        <f t="shared" si="1"/>
        <v/>
      </c>
      <c r="D10" s="7" t="str">
        <f t="shared" si="0"/>
        <v>да</v>
      </c>
      <c r="E10" s="5" t="s">
        <v>326</v>
      </c>
      <c r="G10" s="5"/>
    </row>
    <row r="11" spans="1:10" ht="15.6" x14ac:dyDescent="0.3">
      <c r="A11" s="43"/>
      <c r="B11" s="24"/>
      <c r="C11" s="52" t="str">
        <f t="shared" si="1"/>
        <v/>
      </c>
      <c r="D11" s="7" t="str">
        <f t="shared" si="0"/>
        <v/>
      </c>
      <c r="E11" s="5" t="s">
        <v>327</v>
      </c>
      <c r="I11" s="5"/>
    </row>
    <row r="12" spans="1:10" ht="15.6" x14ac:dyDescent="0.3">
      <c r="A12" s="43"/>
      <c r="B12" s="12">
        <v>46798</v>
      </c>
      <c r="C12" s="52" t="str">
        <f t="shared" si="1"/>
        <v>да</v>
      </c>
      <c r="D12" s="7" t="str">
        <f t="shared" si="0"/>
        <v>да</v>
      </c>
      <c r="E12" s="5" t="s">
        <v>328</v>
      </c>
      <c r="G12" s="5"/>
    </row>
    <row r="13" spans="1:10" ht="15.6" x14ac:dyDescent="0.3">
      <c r="A13" s="43"/>
      <c r="B13" s="7">
        <v>0.76388888888888895</v>
      </c>
      <c r="C13" s="52" t="str">
        <f t="shared" si="1"/>
        <v>да</v>
      </c>
      <c r="D13" s="7" t="str">
        <f t="shared" si="0"/>
        <v>да</v>
      </c>
      <c r="E13" s="5" t="s">
        <v>329</v>
      </c>
      <c r="G13" s="5"/>
    </row>
    <row r="14" spans="1:10" ht="14.4" x14ac:dyDescent="0.3">
      <c r="B14" s="7" t="str">
        <f>"0024"</f>
        <v>0024</v>
      </c>
      <c r="C14" s="52" t="str">
        <f t="shared" si="1"/>
        <v/>
      </c>
      <c r="D14" s="7" t="str">
        <f t="shared" si="0"/>
        <v>да</v>
      </c>
      <c r="E14" s="5" t="s">
        <v>330</v>
      </c>
    </row>
    <row r="15" spans="1:10" ht="14.4" x14ac:dyDescent="0.3">
      <c r="B15" s="7" t="e">
        <f>VLOOKUP(B14,B5:B6,1,0)</f>
        <v>#N/A</v>
      </c>
      <c r="C15" s="52" t="str">
        <f t="shared" si="1"/>
        <v/>
      </c>
      <c r="D15" s="7" t="str">
        <f t="shared" si="0"/>
        <v>да</v>
      </c>
      <c r="E15" s="5" t="s">
        <v>331</v>
      </c>
    </row>
    <row r="16" spans="1:10" ht="14.4" x14ac:dyDescent="0.3"/>
    <row r="17" ht="14.4" x14ac:dyDescent="0.3"/>
    <row r="18" ht="14.4" x14ac:dyDescent="0.3"/>
    <row r="19" ht="14.4" x14ac:dyDescent="0.3"/>
    <row r="20" ht="14.4" x14ac:dyDescent="0.3"/>
  </sheetData>
  <conditionalFormatting sqref="C5:D15">
    <cfRule type="cellIs" dxfId="5" priority="2" operator="equal">
      <formula>""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2" width="14" customWidth="1"/>
    <col min="3" max="3" width="9.33203125" customWidth="1"/>
    <col min="4" max="4" width="17.44140625" customWidth="1"/>
    <col min="5" max="26" width="9" customWidth="1"/>
  </cols>
  <sheetData>
    <row r="1" spans="1:5" ht="14.4" x14ac:dyDescent="0.3"/>
    <row r="2" spans="1:5" ht="21" x14ac:dyDescent="0.4">
      <c r="B2" s="4" t="s">
        <v>332</v>
      </c>
      <c r="D2" s="10"/>
    </row>
    <row r="3" spans="1:5" ht="14.4" x14ac:dyDescent="0.3">
      <c r="D3" s="5"/>
    </row>
    <row r="4" spans="1:5" ht="15" customHeight="1" x14ac:dyDescent="0.3">
      <c r="B4" s="11" t="s">
        <v>317</v>
      </c>
      <c r="D4" s="1" t="s">
        <v>333</v>
      </c>
    </row>
    <row r="5" spans="1:5" ht="14.4" x14ac:dyDescent="0.3">
      <c r="B5" s="7" t="s">
        <v>334</v>
      </c>
      <c r="D5" s="1"/>
      <c r="E5" s="5"/>
    </row>
    <row r="6" spans="1:5" ht="14.4" x14ac:dyDescent="0.3">
      <c r="B6" s="7" t="s">
        <v>335</v>
      </c>
      <c r="D6" s="13">
        <f>COUNTBLANK(B5:B15)</f>
        <v>3</v>
      </c>
      <c r="E6" s="5"/>
    </row>
    <row r="7" spans="1:5" ht="15.6" x14ac:dyDescent="0.3">
      <c r="A7" s="43"/>
      <c r="B7" s="7">
        <v>100</v>
      </c>
      <c r="E7" s="5"/>
    </row>
    <row r="8" spans="1:5" ht="15.6" x14ac:dyDescent="0.3">
      <c r="A8" s="53">
        <v>1</v>
      </c>
      <c r="B8" s="44"/>
      <c r="C8" s="5" t="s">
        <v>327</v>
      </c>
    </row>
    <row r="9" spans="1:5" ht="15.6" x14ac:dyDescent="0.3">
      <c r="A9" s="53"/>
      <c r="B9" s="44">
        <v>0.3</v>
      </c>
      <c r="C9" s="5"/>
    </row>
    <row r="10" spans="1:5" ht="15.6" x14ac:dyDescent="0.3">
      <c r="A10" s="53">
        <v>2</v>
      </c>
      <c r="B10" s="12"/>
      <c r="C10" s="5" t="s">
        <v>327</v>
      </c>
    </row>
    <row r="11" spans="1:5" ht="15.6" x14ac:dyDescent="0.3">
      <c r="A11" s="53"/>
      <c r="B11" s="7">
        <v>0.5</v>
      </c>
      <c r="C11" s="5"/>
    </row>
    <row r="12" spans="1:5" ht="15.6" x14ac:dyDescent="0.3">
      <c r="A12" s="53"/>
      <c r="B12" s="54" t="s">
        <v>336</v>
      </c>
      <c r="C12" s="5" t="s">
        <v>337</v>
      </c>
      <c r="E12" s="5"/>
    </row>
    <row r="13" spans="1:5" ht="15.6" x14ac:dyDescent="0.3">
      <c r="A13" s="53">
        <v>3</v>
      </c>
      <c r="B13" s="16" t="str">
        <f>""</f>
        <v/>
      </c>
      <c r="C13" s="5" t="s">
        <v>338</v>
      </c>
      <c r="E13" s="5"/>
    </row>
    <row r="14" spans="1:5" ht="14.4" x14ac:dyDescent="0.3">
      <c r="A14" s="55"/>
      <c r="B14" s="12">
        <v>47044</v>
      </c>
    </row>
    <row r="15" spans="1:5" ht="14.4" x14ac:dyDescent="0.3">
      <c r="A15" s="55"/>
      <c r="B15" s="7" t="e">
        <f>VLOOKUP(B11,B6:B8,1,0)</f>
        <v>#N/A</v>
      </c>
    </row>
    <row r="16" spans="1:5" ht="14.4" x14ac:dyDescent="0.3"/>
    <row r="17" ht="14.4" x14ac:dyDescent="0.3"/>
    <row r="18" ht="14.4" x14ac:dyDescent="0.3"/>
    <row r="19" ht="14.4" x14ac:dyDescent="0.3"/>
    <row r="20" ht="14.4" x14ac:dyDescent="0.3"/>
  </sheetData>
  <mergeCells count="1">
    <mergeCell ref="D4:D5"/>
  </mergeCells>
  <pageMargins left="0.7" right="0.7" top="0.75" bottom="0.75" header="0.511811023622047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2" width="14" customWidth="1"/>
    <col min="3" max="5" width="13.6640625" customWidth="1"/>
    <col min="6" max="6" width="11.33203125" customWidth="1"/>
    <col min="7" max="7" width="9" customWidth="1"/>
    <col min="8" max="8" width="11.33203125" customWidth="1"/>
    <col min="9" max="26" width="9" customWidth="1"/>
  </cols>
  <sheetData>
    <row r="1" spans="2:10" ht="14.4" x14ac:dyDescent="0.3">
      <c r="J1" s="20"/>
    </row>
    <row r="2" spans="2:10" ht="21" x14ac:dyDescent="0.4">
      <c r="B2" s="4" t="s">
        <v>339</v>
      </c>
      <c r="C2" s="9" t="s">
        <v>340</v>
      </c>
      <c r="D2" s="10" t="s">
        <v>341</v>
      </c>
    </row>
    <row r="3" spans="2:10" ht="14.4" x14ac:dyDescent="0.3">
      <c r="C3" s="5"/>
      <c r="D3" s="5"/>
      <c r="E3" s="5"/>
    </row>
    <row r="4" spans="2:10" ht="15.6" x14ac:dyDescent="0.3">
      <c r="B4" s="11" t="s">
        <v>317</v>
      </c>
      <c r="C4" s="11" t="s">
        <v>339</v>
      </c>
      <c r="D4" s="11" t="s">
        <v>340</v>
      </c>
      <c r="E4" s="11" t="s">
        <v>341</v>
      </c>
    </row>
    <row r="5" spans="2:10" ht="14.4" x14ac:dyDescent="0.3">
      <c r="B5" s="12" t="s">
        <v>334</v>
      </c>
      <c r="C5" s="56" t="b">
        <f t="shared" ref="C5:C14" si="0">ISBLANK(B5)</f>
        <v>0</v>
      </c>
      <c r="D5" s="56" t="b">
        <f t="shared" ref="D5:D14" si="1">ISTEXT(B5)</f>
        <v>1</v>
      </c>
      <c r="E5" s="56" t="b">
        <f t="shared" ref="E5:E14" si="2">ISNUMBER(B5)</f>
        <v>0</v>
      </c>
      <c r="F5" s="5" t="s">
        <v>342</v>
      </c>
      <c r="H5" s="14"/>
    </row>
    <row r="6" spans="2:10" ht="14.4" x14ac:dyDescent="0.3">
      <c r="B6" s="12"/>
      <c r="C6" s="56" t="b">
        <f t="shared" si="0"/>
        <v>1</v>
      </c>
      <c r="D6" s="56" t="b">
        <f t="shared" si="1"/>
        <v>0</v>
      </c>
      <c r="E6" s="56" t="b">
        <f t="shared" si="2"/>
        <v>0</v>
      </c>
      <c r="F6" s="5" t="s">
        <v>343</v>
      </c>
      <c r="H6" s="14"/>
    </row>
    <row r="7" spans="2:10" ht="14.4" x14ac:dyDescent="0.3">
      <c r="B7" s="12" t="s">
        <v>344</v>
      </c>
      <c r="C7" s="56" t="b">
        <f t="shared" si="0"/>
        <v>0</v>
      </c>
      <c r="D7" s="56" t="b">
        <f t="shared" si="1"/>
        <v>1</v>
      </c>
      <c r="E7" s="56" t="b">
        <f t="shared" si="2"/>
        <v>0</v>
      </c>
      <c r="F7" s="5" t="s">
        <v>345</v>
      </c>
      <c r="H7" s="14"/>
    </row>
    <row r="8" spans="2:10" ht="14.4" x14ac:dyDescent="0.3">
      <c r="B8" s="48" t="str">
        <f>IF($C$5=FALSE(),"",1)</f>
        <v/>
      </c>
      <c r="C8" s="56" t="b">
        <f t="shared" si="0"/>
        <v>0</v>
      </c>
      <c r="D8" s="56" t="b">
        <f t="shared" si="1"/>
        <v>1</v>
      </c>
      <c r="E8" s="56" t="b">
        <f t="shared" si="2"/>
        <v>0</v>
      </c>
      <c r="F8" s="5" t="s">
        <v>346</v>
      </c>
      <c r="H8" s="14"/>
    </row>
    <row r="9" spans="2:10" ht="14.4" x14ac:dyDescent="0.3">
      <c r="B9" s="48">
        <v>100</v>
      </c>
      <c r="C9" s="56" t="b">
        <f t="shared" si="0"/>
        <v>0</v>
      </c>
      <c r="D9" s="56" t="b">
        <f t="shared" si="1"/>
        <v>0</v>
      </c>
      <c r="E9" s="56" t="b">
        <f t="shared" si="2"/>
        <v>1</v>
      </c>
      <c r="F9" s="5" t="s">
        <v>347</v>
      </c>
      <c r="H9" s="14"/>
    </row>
    <row r="10" spans="2:10" ht="14.4" x14ac:dyDescent="0.3">
      <c r="B10" s="12" t="s">
        <v>348</v>
      </c>
      <c r="C10" s="56" t="b">
        <f t="shared" si="0"/>
        <v>0</v>
      </c>
      <c r="D10" s="56" t="b">
        <f t="shared" si="1"/>
        <v>1</v>
      </c>
      <c r="E10" s="56" t="b">
        <f t="shared" si="2"/>
        <v>0</v>
      </c>
      <c r="F10" s="5" t="s">
        <v>349</v>
      </c>
      <c r="H10" s="14"/>
    </row>
    <row r="11" spans="2:10" ht="14.4" x14ac:dyDescent="0.3">
      <c r="B11" s="12">
        <v>45657</v>
      </c>
      <c r="C11" s="56" t="b">
        <f t="shared" si="0"/>
        <v>0</v>
      </c>
      <c r="D11" s="56" t="b">
        <f t="shared" si="1"/>
        <v>0</v>
      </c>
      <c r="E11" s="56" t="b">
        <f t="shared" si="2"/>
        <v>1</v>
      </c>
      <c r="F11" s="5" t="s">
        <v>350</v>
      </c>
      <c r="H11" s="14"/>
    </row>
    <row r="12" spans="2:10" ht="14.4" x14ac:dyDescent="0.3">
      <c r="B12" s="7">
        <v>0.39604166666666701</v>
      </c>
      <c r="C12" s="56" t="b">
        <f t="shared" si="0"/>
        <v>0</v>
      </c>
      <c r="D12" s="56" t="b">
        <f t="shared" si="1"/>
        <v>0</v>
      </c>
      <c r="E12" s="56" t="b">
        <f t="shared" si="2"/>
        <v>1</v>
      </c>
      <c r="F12" s="5" t="s">
        <v>351</v>
      </c>
      <c r="H12" s="14"/>
    </row>
    <row r="13" spans="2:10" ht="14.4" x14ac:dyDescent="0.3">
      <c r="B13" s="12" t="e">
        <f>VLOOKUP("утюг",$B$5:$B$8,1,0)</f>
        <v>#N/A</v>
      </c>
      <c r="C13" s="56" t="b">
        <f t="shared" si="0"/>
        <v>0</v>
      </c>
      <c r="D13" s="56" t="b">
        <f t="shared" si="1"/>
        <v>0</v>
      </c>
      <c r="E13" s="56" t="b">
        <f t="shared" si="2"/>
        <v>0</v>
      </c>
      <c r="F13" s="5" t="s">
        <v>352</v>
      </c>
      <c r="H13" s="14"/>
    </row>
    <row r="14" spans="2:10" ht="14.4" x14ac:dyDescent="0.3">
      <c r="B14" s="12" t="e">
        <f>6/0</f>
        <v>#DIV/0!</v>
      </c>
      <c r="C14" s="56" t="b">
        <f t="shared" si="0"/>
        <v>0</v>
      </c>
      <c r="D14" s="56" t="b">
        <f t="shared" si="1"/>
        <v>0</v>
      </c>
      <c r="E14" s="56" t="b">
        <f t="shared" si="2"/>
        <v>0</v>
      </c>
      <c r="F14" s="5" t="s">
        <v>352</v>
      </c>
    </row>
    <row r="15" spans="2:10" ht="14.4" x14ac:dyDescent="0.3"/>
    <row r="16" spans="2:10" ht="14.4" x14ac:dyDescent="0.3"/>
    <row r="17" ht="14.4" x14ac:dyDescent="0.3"/>
    <row r="18" ht="14.4" x14ac:dyDescent="0.3"/>
    <row r="19" ht="14.4" x14ac:dyDescent="0.3"/>
    <row r="20" ht="14.4" x14ac:dyDescent="0.3"/>
  </sheetData>
  <conditionalFormatting sqref="C5:E14">
    <cfRule type="cellIs" dxfId="4" priority="2" operator="equal">
      <formula>"TRUE"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3" width="11.33203125" customWidth="1"/>
    <col min="4" max="5" width="6.44140625" customWidth="1"/>
    <col min="6" max="6" width="17.44140625" customWidth="1"/>
    <col min="7" max="26" width="9" customWidth="1"/>
  </cols>
  <sheetData>
    <row r="1" spans="1:10" ht="14.4" x14ac:dyDescent="0.3">
      <c r="J1" s="20"/>
    </row>
    <row r="2" spans="1:10" ht="21" x14ac:dyDescent="0.4">
      <c r="B2" s="4" t="s">
        <v>353</v>
      </c>
      <c r="C2" s="4"/>
      <c r="F2" s="21" t="s">
        <v>354</v>
      </c>
    </row>
    <row r="3" spans="1:10" ht="14.4" x14ac:dyDescent="0.3">
      <c r="F3" s="5"/>
    </row>
    <row r="4" spans="1:10" ht="15" customHeight="1" x14ac:dyDescent="0.3">
      <c r="B4" s="11" t="s">
        <v>167</v>
      </c>
      <c r="C4" s="11" t="s">
        <v>168</v>
      </c>
      <c r="E4" s="1" t="s">
        <v>355</v>
      </c>
      <c r="F4" s="1" t="s">
        <v>356</v>
      </c>
    </row>
    <row r="5" spans="1:10" ht="14.4" x14ac:dyDescent="0.3">
      <c r="B5" s="7" t="s">
        <v>170</v>
      </c>
      <c r="C5" s="7">
        <v>58</v>
      </c>
      <c r="E5" s="1"/>
      <c r="F5" s="1"/>
      <c r="G5" s="5"/>
    </row>
    <row r="6" spans="1:10" ht="14.4" x14ac:dyDescent="0.3">
      <c r="B6" s="7" t="s">
        <v>171</v>
      </c>
      <c r="C6" s="7">
        <v>30</v>
      </c>
      <c r="E6" s="7">
        <v>1</v>
      </c>
      <c r="F6" s="13">
        <f>LARGE($C$5:$C$15,E6)</f>
        <v>96</v>
      </c>
      <c r="G6" s="5"/>
    </row>
    <row r="7" spans="1:10" ht="15.6" x14ac:dyDescent="0.3">
      <c r="A7" s="43"/>
      <c r="B7" s="7" t="s">
        <v>172</v>
      </c>
      <c r="C7" s="7">
        <v>37</v>
      </c>
      <c r="E7" s="7">
        <v>2</v>
      </c>
      <c r="F7" s="13">
        <f>LARGE($C$5:$C$15,E7)</f>
        <v>89</v>
      </c>
      <c r="G7" s="5"/>
    </row>
    <row r="8" spans="1:10" ht="15.6" x14ac:dyDescent="0.3">
      <c r="A8" s="43"/>
      <c r="B8" s="44" t="s">
        <v>173</v>
      </c>
      <c r="C8" s="7">
        <v>96</v>
      </c>
      <c r="E8" s="7">
        <v>3</v>
      </c>
      <c r="F8" s="13">
        <f>LARGE($C$5:$C$15,E8)</f>
        <v>84</v>
      </c>
      <c r="G8" s="5"/>
    </row>
    <row r="9" spans="1:10" ht="15.6" x14ac:dyDescent="0.3">
      <c r="A9" s="43"/>
      <c r="B9" s="12" t="s">
        <v>175</v>
      </c>
      <c r="C9" s="7">
        <v>84</v>
      </c>
      <c r="G9" s="5"/>
    </row>
    <row r="10" spans="1:10" ht="15.6" x14ac:dyDescent="0.3">
      <c r="A10" s="43"/>
      <c r="B10" s="12" t="s">
        <v>176</v>
      </c>
      <c r="C10" s="7">
        <v>89</v>
      </c>
      <c r="G10" s="5"/>
    </row>
    <row r="11" spans="1:10" ht="15" customHeight="1" x14ac:dyDescent="0.3">
      <c r="A11" s="43"/>
      <c r="B11" s="12" t="s">
        <v>177</v>
      </c>
      <c r="C11" s="7">
        <v>70</v>
      </c>
      <c r="D11" s="5"/>
      <c r="E11" s="1" t="s">
        <v>355</v>
      </c>
      <c r="F11" s="1" t="s">
        <v>357</v>
      </c>
    </row>
    <row r="12" spans="1:10" ht="15.6" x14ac:dyDescent="0.3">
      <c r="A12" s="43"/>
      <c r="B12" s="12" t="s">
        <v>178</v>
      </c>
      <c r="C12" s="7">
        <v>24</v>
      </c>
      <c r="D12" s="5"/>
      <c r="E12" s="1"/>
      <c r="F12" s="1"/>
      <c r="G12" s="5"/>
    </row>
    <row r="13" spans="1:10" ht="15.6" x14ac:dyDescent="0.3">
      <c r="A13" s="43"/>
      <c r="B13" s="16" t="s">
        <v>179</v>
      </c>
      <c r="C13" s="7">
        <v>62</v>
      </c>
      <c r="D13" s="5"/>
      <c r="E13" s="7">
        <v>1</v>
      </c>
      <c r="F13" s="13">
        <f>SMALL($C$5:$C$15,E13)</f>
        <v>24</v>
      </c>
      <c r="G13" s="5"/>
    </row>
    <row r="14" spans="1:10" ht="14.4" x14ac:dyDescent="0.3">
      <c r="B14" s="7" t="s">
        <v>180</v>
      </c>
      <c r="C14" s="7">
        <v>78</v>
      </c>
      <c r="D14" s="5"/>
      <c r="E14" s="7">
        <v>2</v>
      </c>
      <c r="F14" s="13">
        <f>SMALL($C$5:$C$15,E14)</f>
        <v>30</v>
      </c>
    </row>
    <row r="15" spans="1:10" ht="14.4" x14ac:dyDescent="0.3">
      <c r="B15" s="7" t="s">
        <v>181</v>
      </c>
      <c r="C15" s="7">
        <v>72</v>
      </c>
      <c r="E15" s="7">
        <v>3</v>
      </c>
      <c r="F15" s="13">
        <f>SMALL($C$5:$C$15,E15)</f>
        <v>37</v>
      </c>
    </row>
    <row r="16" spans="1:10" ht="14.4" x14ac:dyDescent="0.3"/>
    <row r="17" ht="14.4" x14ac:dyDescent="0.3"/>
    <row r="18" ht="14.4" x14ac:dyDescent="0.3"/>
    <row r="19" ht="14.4" x14ac:dyDescent="0.3"/>
    <row r="20" ht="14.4" x14ac:dyDescent="0.3"/>
  </sheetData>
  <mergeCells count="4">
    <mergeCell ref="E4:E5"/>
    <mergeCell ref="F4:F5"/>
    <mergeCell ref="E11:E12"/>
    <mergeCell ref="F11:F12"/>
  </mergeCells>
  <pageMargins left="0.7" right="0.7" top="0.75" bottom="0.75" header="0.511811023622047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2" max="2" width="14.5546875" customWidth="1"/>
    <col min="3" max="3" width="19.5546875" customWidth="1"/>
    <col min="4" max="4" width="16.88671875" customWidth="1"/>
    <col min="5" max="5" width="15.6640625" customWidth="1"/>
    <col min="6" max="6" width="9" customWidth="1"/>
    <col min="7" max="7" width="16.33203125" customWidth="1"/>
    <col min="8" max="8" width="18" customWidth="1"/>
    <col min="9" max="26" width="9" customWidth="1"/>
  </cols>
  <sheetData>
    <row r="1" spans="2:10" ht="14.4" x14ac:dyDescent="0.3">
      <c r="J1" s="20"/>
    </row>
    <row r="2" spans="2:10" ht="21" customHeight="1" x14ac:dyDescent="0.4">
      <c r="B2" s="4" t="s">
        <v>358</v>
      </c>
    </row>
    <row r="3" spans="2:10" ht="14.4" x14ac:dyDescent="0.3">
      <c r="B3" s="57">
        <v>1</v>
      </c>
      <c r="C3" s="57">
        <v>2</v>
      </c>
      <c r="D3" s="57">
        <v>3</v>
      </c>
      <c r="E3" s="57">
        <v>4</v>
      </c>
    </row>
    <row r="4" spans="2:10" ht="15.6" x14ac:dyDescent="0.3">
      <c r="B4" s="11" t="s">
        <v>359</v>
      </c>
      <c r="C4" s="11" t="s">
        <v>360</v>
      </c>
      <c r="D4" s="11" t="s">
        <v>361</v>
      </c>
      <c r="E4" s="58" t="s">
        <v>362</v>
      </c>
      <c r="G4" s="34" t="s">
        <v>359</v>
      </c>
      <c r="H4" s="59" t="s">
        <v>362</v>
      </c>
    </row>
    <row r="5" spans="2:10" ht="14.4" x14ac:dyDescent="0.3">
      <c r="B5" s="37">
        <v>2683</v>
      </c>
      <c r="C5" s="31" t="s">
        <v>363</v>
      </c>
      <c r="D5" s="7">
        <v>72</v>
      </c>
      <c r="E5" s="38">
        <v>6500</v>
      </c>
      <c r="F5" s="5"/>
      <c r="G5" s="7">
        <v>2378</v>
      </c>
      <c r="H5" s="39">
        <f>VLOOKUP(G5,B5:E15,4,0)</f>
        <v>3000</v>
      </c>
    </row>
    <row r="6" spans="2:10" ht="14.4" x14ac:dyDescent="0.3">
      <c r="B6" s="37">
        <v>6483</v>
      </c>
      <c r="C6" s="31" t="s">
        <v>364</v>
      </c>
      <c r="D6" s="7">
        <v>97</v>
      </c>
      <c r="E6" s="38">
        <v>15000</v>
      </c>
      <c r="F6" s="5"/>
      <c r="G6" s="14"/>
    </row>
    <row r="7" spans="2:10" ht="14.4" x14ac:dyDescent="0.3">
      <c r="B7" s="37">
        <v>6110</v>
      </c>
      <c r="C7" s="31" t="s">
        <v>365</v>
      </c>
      <c r="D7" s="7">
        <v>61</v>
      </c>
      <c r="E7" s="38">
        <v>500</v>
      </c>
      <c r="F7" s="5"/>
      <c r="G7" s="14"/>
    </row>
    <row r="8" spans="2:10" ht="14.4" x14ac:dyDescent="0.3">
      <c r="B8" s="37">
        <v>5711</v>
      </c>
      <c r="C8" s="31" t="s">
        <v>366</v>
      </c>
      <c r="D8" s="7">
        <v>101</v>
      </c>
      <c r="E8" s="38">
        <v>1500</v>
      </c>
      <c r="F8" s="5"/>
      <c r="G8" s="14"/>
    </row>
    <row r="9" spans="2:10" ht="14.4" x14ac:dyDescent="0.3">
      <c r="B9" s="37">
        <v>3506</v>
      </c>
      <c r="C9" s="31" t="s">
        <v>367</v>
      </c>
      <c r="D9" s="7">
        <v>70</v>
      </c>
      <c r="E9" s="38">
        <v>8900</v>
      </c>
      <c r="F9" s="5"/>
      <c r="G9" s="14"/>
    </row>
    <row r="10" spans="2:10" ht="14.4" x14ac:dyDescent="0.3">
      <c r="B10" s="37">
        <v>9139</v>
      </c>
      <c r="C10" s="31" t="s">
        <v>368</v>
      </c>
      <c r="D10" s="7">
        <v>90</v>
      </c>
      <c r="E10" s="38">
        <v>150</v>
      </c>
      <c r="F10" s="5"/>
      <c r="G10" s="14"/>
    </row>
    <row r="11" spans="2:10" ht="14.4" x14ac:dyDescent="0.3">
      <c r="B11" s="37">
        <v>1546</v>
      </c>
      <c r="C11" s="31" t="s">
        <v>369</v>
      </c>
      <c r="D11" s="7">
        <v>73</v>
      </c>
      <c r="E11" s="38">
        <v>30000</v>
      </c>
      <c r="F11" s="5"/>
      <c r="G11" s="14"/>
    </row>
    <row r="12" spans="2:10" ht="14.4" x14ac:dyDescent="0.3">
      <c r="B12" s="37">
        <v>5897</v>
      </c>
      <c r="C12" s="31" t="s">
        <v>370</v>
      </c>
      <c r="D12" s="7">
        <v>95</v>
      </c>
      <c r="E12" s="38">
        <v>8000</v>
      </c>
      <c r="F12" s="5"/>
      <c r="G12" s="14"/>
    </row>
    <row r="13" spans="2:10" ht="14.4" x14ac:dyDescent="0.3">
      <c r="B13" s="37">
        <v>2378</v>
      </c>
      <c r="C13" s="31" t="s">
        <v>371</v>
      </c>
      <c r="D13" s="7">
        <v>93</v>
      </c>
      <c r="E13" s="38">
        <v>3000</v>
      </c>
      <c r="F13" s="5"/>
      <c r="G13" s="14"/>
    </row>
    <row r="14" spans="2:10" ht="14.4" x14ac:dyDescent="0.3">
      <c r="B14" s="37">
        <v>1345</v>
      </c>
      <c r="C14" s="31" t="s">
        <v>372</v>
      </c>
      <c r="D14" s="7">
        <v>71</v>
      </c>
      <c r="E14" s="38">
        <v>2900</v>
      </c>
      <c r="F14" s="5"/>
    </row>
    <row r="15" spans="2:10" ht="14.4" x14ac:dyDescent="0.3">
      <c r="B15" s="37">
        <v>9215</v>
      </c>
      <c r="C15" s="31" t="s">
        <v>373</v>
      </c>
      <c r="D15" s="7">
        <v>57</v>
      </c>
      <c r="E15" s="38">
        <v>12000</v>
      </c>
      <c r="F15" s="5"/>
    </row>
    <row r="16" spans="2:10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20"/>
  <sheetViews>
    <sheetView zoomScaleNormal="100" workbookViewId="0"/>
  </sheetViews>
  <sheetFormatPr defaultColWidth="14.44140625" defaultRowHeight="15" customHeight="1" x14ac:dyDescent="0.3"/>
  <cols>
    <col min="1" max="1" width="9" customWidth="1"/>
    <col min="3" max="3" width="15.5546875" customWidth="1"/>
    <col min="4" max="4" width="17.6640625" customWidth="1"/>
    <col min="5" max="5" width="16.33203125" customWidth="1"/>
    <col min="6" max="6" width="26.5546875" customWidth="1"/>
    <col min="7" max="7" width="10.44140625" customWidth="1"/>
    <col min="8" max="26" width="9" customWidth="1"/>
  </cols>
  <sheetData>
    <row r="1" spans="2:10" ht="14.4" x14ac:dyDescent="0.3">
      <c r="F1" s="60"/>
      <c r="J1" s="20"/>
    </row>
    <row r="2" spans="2:10" ht="21" x14ac:dyDescent="0.4">
      <c r="B2" s="4" t="s">
        <v>374</v>
      </c>
    </row>
    <row r="3" spans="2:10" ht="14.4" x14ac:dyDescent="0.3">
      <c r="C3" s="5"/>
      <c r="D3" s="5"/>
    </row>
    <row r="4" spans="2:10" ht="15.6" x14ac:dyDescent="0.3">
      <c r="B4" s="11" t="s">
        <v>375</v>
      </c>
      <c r="C4" s="11" t="s">
        <v>376</v>
      </c>
      <c r="D4" s="33" t="s">
        <v>377</v>
      </c>
    </row>
    <row r="5" spans="2:10" ht="14.4" x14ac:dyDescent="0.3">
      <c r="B5" s="31">
        <v>7600</v>
      </c>
      <c r="C5" s="7">
        <v>4</v>
      </c>
      <c r="D5" s="41">
        <f t="shared" ref="D5:D15" si="0">IFERROR(B5/C5,"ошибка")</f>
        <v>1900</v>
      </c>
      <c r="E5" s="5"/>
    </row>
    <row r="6" spans="2:10" ht="14.4" x14ac:dyDescent="0.3">
      <c r="B6" s="31">
        <v>10300</v>
      </c>
      <c r="C6" s="7">
        <v>0</v>
      </c>
      <c r="D6" s="41" t="str">
        <f t="shared" si="0"/>
        <v>ошибка</v>
      </c>
      <c r="E6" s="5" t="s">
        <v>378</v>
      </c>
    </row>
    <row r="7" spans="2:10" ht="14.4" x14ac:dyDescent="0.3">
      <c r="B7" s="31">
        <v>9800</v>
      </c>
      <c r="C7" s="7">
        <v>5</v>
      </c>
      <c r="D7" s="41">
        <f t="shared" si="0"/>
        <v>1960</v>
      </c>
      <c r="E7" s="5"/>
    </row>
    <row r="8" spans="2:10" ht="14.4" x14ac:dyDescent="0.3">
      <c r="B8" s="31">
        <v>7300</v>
      </c>
      <c r="C8" s="7">
        <v>10</v>
      </c>
      <c r="D8" s="41">
        <f t="shared" si="0"/>
        <v>730</v>
      </c>
      <c r="E8" s="5"/>
    </row>
    <row r="9" spans="2:10" ht="14.4" x14ac:dyDescent="0.3">
      <c r="B9" s="31">
        <v>14300</v>
      </c>
      <c r="C9" s="7">
        <v>6</v>
      </c>
      <c r="D9" s="41">
        <f t="shared" si="0"/>
        <v>2383.3333333333335</v>
      </c>
      <c r="E9" s="5"/>
    </row>
    <row r="10" spans="2:10" ht="14.4" x14ac:dyDescent="0.3">
      <c r="B10" s="31">
        <v>9700</v>
      </c>
      <c r="C10" s="7">
        <v>7</v>
      </c>
      <c r="D10" s="41">
        <f t="shared" si="0"/>
        <v>1385.7142857142858</v>
      </c>
      <c r="E10" s="5"/>
    </row>
    <row r="11" spans="2:10" ht="14.4" x14ac:dyDescent="0.3">
      <c r="B11" s="31">
        <v>7700</v>
      </c>
      <c r="C11" s="7">
        <v>14</v>
      </c>
      <c r="D11" s="41">
        <f t="shared" si="0"/>
        <v>550</v>
      </c>
      <c r="E11" s="5"/>
    </row>
    <row r="12" spans="2:10" ht="14.4" x14ac:dyDescent="0.3">
      <c r="B12" s="31">
        <v>5500</v>
      </c>
      <c r="C12" s="7">
        <v>15</v>
      </c>
      <c r="D12" s="41">
        <f t="shared" si="0"/>
        <v>366.66666666666669</v>
      </c>
      <c r="E12" s="5"/>
    </row>
    <row r="13" spans="2:10" ht="14.4" x14ac:dyDescent="0.3">
      <c r="B13" s="31">
        <v>7700</v>
      </c>
      <c r="C13" s="7">
        <v>9</v>
      </c>
      <c r="D13" s="41">
        <f t="shared" si="0"/>
        <v>855.55555555555554</v>
      </c>
      <c r="E13" s="5"/>
    </row>
    <row r="14" spans="2:10" ht="14.4" x14ac:dyDescent="0.3">
      <c r="B14" s="31">
        <v>6100</v>
      </c>
      <c r="C14" s="7">
        <v>0</v>
      </c>
      <c r="D14" s="41" t="str">
        <f t="shared" si="0"/>
        <v>ошибка</v>
      </c>
      <c r="E14" s="5" t="s">
        <v>378</v>
      </c>
    </row>
    <row r="15" spans="2:10" ht="14.4" x14ac:dyDescent="0.3">
      <c r="B15" s="31">
        <v>12500</v>
      </c>
      <c r="C15" s="7">
        <v>7</v>
      </c>
      <c r="D15" s="41">
        <f t="shared" si="0"/>
        <v>1785.7142857142858</v>
      </c>
      <c r="E15" s="5"/>
    </row>
    <row r="16" spans="2:10" ht="14.4" x14ac:dyDescent="0.3">
      <c r="D16" s="61"/>
    </row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0"/>
  <sheetViews>
    <sheetView zoomScale="79" zoomScaleNormal="100" workbookViewId="0">
      <selection activeCell="G6" sqref="G6"/>
    </sheetView>
  </sheetViews>
  <sheetFormatPr defaultColWidth="14.44140625" defaultRowHeight="15" customHeight="1" x14ac:dyDescent="0.3"/>
  <cols>
    <col min="1" max="1" width="9" customWidth="1"/>
    <col min="2" max="2" width="27.88671875" customWidth="1"/>
    <col min="3" max="3" width="13.33203125" customWidth="1"/>
    <col min="4" max="4" width="16.88671875" customWidth="1"/>
    <col min="5" max="5" width="15.6640625" customWidth="1"/>
    <col min="6" max="6" width="9" customWidth="1"/>
    <col min="7" max="7" width="16.33203125" customWidth="1"/>
    <col min="8" max="8" width="18" customWidth="1"/>
    <col min="9" max="26" width="9" customWidth="1"/>
  </cols>
  <sheetData>
    <row r="1" spans="1:10" ht="14.4" x14ac:dyDescent="0.3">
      <c r="J1" s="20"/>
    </row>
    <row r="2" spans="1:10" ht="21" x14ac:dyDescent="0.4">
      <c r="B2" s="4" t="s">
        <v>379</v>
      </c>
    </row>
    <row r="3" spans="1:10" ht="14.4" x14ac:dyDescent="0.3">
      <c r="B3" s="57">
        <v>1</v>
      </c>
      <c r="C3" s="57">
        <v>2</v>
      </c>
      <c r="D3" s="57">
        <v>3</v>
      </c>
      <c r="E3" s="57">
        <v>4</v>
      </c>
    </row>
    <row r="4" spans="1:10" ht="15.6" x14ac:dyDescent="0.3">
      <c r="B4" s="11" t="s">
        <v>380</v>
      </c>
      <c r="C4" s="11" t="s">
        <v>381</v>
      </c>
      <c r="D4" s="11" t="s">
        <v>136</v>
      </c>
      <c r="E4" s="11" t="s">
        <v>382</v>
      </c>
    </row>
    <row r="5" spans="1:10" ht="15.6" x14ac:dyDescent="0.3">
      <c r="A5" s="53">
        <v>1</v>
      </c>
      <c r="B5" s="7" t="s">
        <v>383</v>
      </c>
      <c r="C5" s="62">
        <v>829.8</v>
      </c>
      <c r="D5" s="7" t="s">
        <v>384</v>
      </c>
      <c r="E5" s="48">
        <f t="shared" ref="E5:E15" si="0">RANK(C5,$C$5:$C$15)</f>
        <v>1</v>
      </c>
      <c r="F5" s="5"/>
    </row>
    <row r="6" spans="1:10" ht="15.6" x14ac:dyDescent="0.3">
      <c r="A6" s="53">
        <v>2</v>
      </c>
      <c r="B6" s="7" t="s">
        <v>385</v>
      </c>
      <c r="C6" s="62">
        <v>678.9</v>
      </c>
      <c r="D6" s="7" t="s">
        <v>386</v>
      </c>
      <c r="E6" s="48">
        <f t="shared" si="0"/>
        <v>2</v>
      </c>
      <c r="F6" s="5"/>
      <c r="G6" s="63">
        <f t="array" ref="G6">INDEX(B5:E15,4,2)</f>
        <v>632</v>
      </c>
    </row>
    <row r="7" spans="1:10" ht="15.6" x14ac:dyDescent="0.3">
      <c r="A7" s="53">
        <v>3</v>
      </c>
      <c r="B7" s="7" t="s">
        <v>387</v>
      </c>
      <c r="C7" s="62">
        <v>634</v>
      </c>
      <c r="D7" s="7" t="s">
        <v>388</v>
      </c>
      <c r="E7" s="48">
        <f t="shared" si="0"/>
        <v>3</v>
      </c>
      <c r="F7" s="5"/>
    </row>
    <row r="8" spans="1:10" ht="15.6" x14ac:dyDescent="0.3">
      <c r="A8" s="53">
        <v>4</v>
      </c>
      <c r="B8" s="7" t="s">
        <v>389</v>
      </c>
      <c r="C8" s="62">
        <v>632</v>
      </c>
      <c r="D8" s="7" t="s">
        <v>390</v>
      </c>
      <c r="E8" s="48">
        <f t="shared" si="0"/>
        <v>4</v>
      </c>
      <c r="F8" s="5"/>
      <c r="G8" s="14"/>
    </row>
    <row r="9" spans="1:10" ht="15.6" x14ac:dyDescent="0.3">
      <c r="A9" s="53">
        <v>5</v>
      </c>
      <c r="B9" s="7" t="s">
        <v>391</v>
      </c>
      <c r="C9" s="62">
        <v>627.79999999999995</v>
      </c>
      <c r="D9" s="7" t="s">
        <v>392</v>
      </c>
      <c r="E9" s="48">
        <f t="shared" si="0"/>
        <v>5</v>
      </c>
      <c r="F9" s="5"/>
      <c r="G9" s="14"/>
    </row>
    <row r="10" spans="1:10" ht="15.6" x14ac:dyDescent="0.3">
      <c r="A10" s="53">
        <v>6</v>
      </c>
      <c r="B10" s="7" t="s">
        <v>393</v>
      </c>
      <c r="C10" s="62">
        <v>604</v>
      </c>
      <c r="D10" s="7" t="s">
        <v>394</v>
      </c>
      <c r="E10" s="48">
        <f t="shared" si="0"/>
        <v>6</v>
      </c>
      <c r="F10" s="5"/>
      <c r="G10" s="14"/>
    </row>
    <row r="11" spans="1:10" ht="15.6" x14ac:dyDescent="0.3">
      <c r="A11" s="53">
        <v>7</v>
      </c>
      <c r="B11" s="7" t="s">
        <v>395</v>
      </c>
      <c r="C11" s="62">
        <v>601</v>
      </c>
      <c r="D11" s="7" t="s">
        <v>396</v>
      </c>
      <c r="E11" s="48">
        <f t="shared" si="0"/>
        <v>7</v>
      </c>
      <c r="F11" s="5"/>
      <c r="G11" s="14"/>
    </row>
    <row r="12" spans="1:10" ht="15.6" x14ac:dyDescent="0.3">
      <c r="A12" s="53">
        <v>8</v>
      </c>
      <c r="B12" s="7" t="s">
        <v>397</v>
      </c>
      <c r="C12" s="62">
        <v>596.6</v>
      </c>
      <c r="D12" s="7" t="s">
        <v>398</v>
      </c>
      <c r="E12" s="48">
        <f t="shared" si="0"/>
        <v>8</v>
      </c>
      <c r="F12" s="5"/>
    </row>
    <row r="13" spans="1:10" ht="15.6" x14ac:dyDescent="0.3">
      <c r="A13" s="53">
        <v>9</v>
      </c>
      <c r="B13" s="7" t="s">
        <v>399</v>
      </c>
      <c r="C13" s="62">
        <v>555.70000000000005</v>
      </c>
      <c r="D13" s="7" t="s">
        <v>400</v>
      </c>
      <c r="E13" s="48">
        <f t="shared" si="0"/>
        <v>9</v>
      </c>
      <c r="F13" s="5"/>
    </row>
    <row r="14" spans="1:10" ht="15.6" x14ac:dyDescent="0.3">
      <c r="A14" s="53">
        <v>10</v>
      </c>
      <c r="B14" s="7" t="s">
        <v>401</v>
      </c>
      <c r="C14" s="62">
        <v>553.29999999999995</v>
      </c>
      <c r="D14" s="7" t="s">
        <v>402</v>
      </c>
      <c r="E14" s="48">
        <f t="shared" si="0"/>
        <v>10</v>
      </c>
    </row>
    <row r="15" spans="1:10" ht="15.6" x14ac:dyDescent="0.3">
      <c r="A15" s="53">
        <v>11</v>
      </c>
      <c r="B15" s="7" t="s">
        <v>403</v>
      </c>
      <c r="C15" s="62">
        <v>540</v>
      </c>
      <c r="D15" s="7" t="s">
        <v>139</v>
      </c>
      <c r="E15" s="48">
        <f t="shared" si="0"/>
        <v>11</v>
      </c>
    </row>
    <row r="16" spans="1:10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J20"/>
  <sheetViews>
    <sheetView zoomScaleNormal="100" workbookViewId="0">
      <selection activeCell="F5" sqref="F5"/>
    </sheetView>
  </sheetViews>
  <sheetFormatPr defaultColWidth="14.44140625" defaultRowHeight="15" customHeight="1" x14ac:dyDescent="0.3"/>
  <cols>
    <col min="1" max="1" width="9" customWidth="1"/>
    <col min="2" max="2" width="19.5546875" customWidth="1"/>
    <col min="3" max="4" width="12.88671875" customWidth="1"/>
    <col min="5" max="5" width="19.5546875" customWidth="1"/>
    <col min="6" max="6" width="18" customWidth="1"/>
    <col min="7" max="26" width="9" customWidth="1"/>
  </cols>
  <sheetData>
    <row r="1" spans="2:10" ht="14.4" x14ac:dyDescent="0.3">
      <c r="J1" s="20"/>
    </row>
    <row r="2" spans="2:10" ht="21" x14ac:dyDescent="0.4">
      <c r="B2" s="4" t="s">
        <v>404</v>
      </c>
      <c r="C2" s="4"/>
    </row>
    <row r="3" spans="2:10" ht="14.4" x14ac:dyDescent="0.3"/>
    <row r="4" spans="2:10" ht="15.6" x14ac:dyDescent="0.3">
      <c r="B4" s="11" t="s">
        <v>360</v>
      </c>
      <c r="E4" s="34" t="s">
        <v>360</v>
      </c>
      <c r="F4" s="59" t="s">
        <v>5</v>
      </c>
    </row>
    <row r="5" spans="2:10" ht="14.4" x14ac:dyDescent="0.3">
      <c r="B5" s="31" t="s">
        <v>363</v>
      </c>
      <c r="C5" s="64">
        <v>1</v>
      </c>
      <c r="D5" s="5"/>
      <c r="E5" s="7" t="s">
        <v>367</v>
      </c>
      <c r="F5" s="39">
        <f>MATCH(E5,B5:B15,0)</f>
        <v>5</v>
      </c>
    </row>
    <row r="6" spans="2:10" ht="14.4" x14ac:dyDescent="0.3">
      <c r="B6" s="31" t="s">
        <v>364</v>
      </c>
      <c r="C6" s="64">
        <v>2</v>
      </c>
      <c r="D6" s="5"/>
      <c r="E6" s="14"/>
    </row>
    <row r="7" spans="2:10" ht="14.4" x14ac:dyDescent="0.3">
      <c r="B7" s="31" t="s">
        <v>365</v>
      </c>
      <c r="C7" s="64">
        <v>3</v>
      </c>
      <c r="D7" s="5"/>
      <c r="E7" s="14"/>
    </row>
    <row r="8" spans="2:10" ht="14.4" x14ac:dyDescent="0.3">
      <c r="B8" s="31" t="s">
        <v>366</v>
      </c>
      <c r="C8" s="64">
        <v>4</v>
      </c>
      <c r="D8" s="5"/>
      <c r="E8" s="14"/>
    </row>
    <row r="9" spans="2:10" ht="14.4" x14ac:dyDescent="0.3">
      <c r="B9" s="31" t="s">
        <v>367</v>
      </c>
      <c r="C9" s="64">
        <v>5</v>
      </c>
      <c r="D9" s="5"/>
      <c r="E9" s="14"/>
    </row>
    <row r="10" spans="2:10" ht="14.4" x14ac:dyDescent="0.3">
      <c r="B10" s="31" t="s">
        <v>368</v>
      </c>
      <c r="C10" s="64">
        <v>6</v>
      </c>
      <c r="D10" s="5"/>
      <c r="E10" s="14"/>
    </row>
    <row r="11" spans="2:10" ht="14.4" x14ac:dyDescent="0.3">
      <c r="B11" s="31" t="s">
        <v>369</v>
      </c>
      <c r="C11" s="64">
        <v>7</v>
      </c>
      <c r="D11" s="5"/>
      <c r="E11" s="14"/>
    </row>
    <row r="12" spans="2:10" ht="14.4" x14ac:dyDescent="0.3">
      <c r="B12" s="31" t="s">
        <v>370</v>
      </c>
      <c r="C12" s="64">
        <v>8</v>
      </c>
      <c r="D12" s="5"/>
      <c r="E12" s="14"/>
    </row>
    <row r="13" spans="2:10" ht="14.4" x14ac:dyDescent="0.3">
      <c r="B13" s="31" t="s">
        <v>371</v>
      </c>
      <c r="C13" s="64">
        <v>9</v>
      </c>
      <c r="D13" s="5"/>
      <c r="E13" s="14"/>
    </row>
    <row r="14" spans="2:10" ht="14.4" x14ac:dyDescent="0.3">
      <c r="B14" s="31" t="s">
        <v>372</v>
      </c>
      <c r="C14" s="64">
        <v>10</v>
      </c>
      <c r="D14" s="5"/>
    </row>
    <row r="15" spans="2:10" ht="14.4" x14ac:dyDescent="0.3">
      <c r="B15" s="31" t="s">
        <v>373</v>
      </c>
      <c r="C15" s="64">
        <v>11</v>
      </c>
      <c r="D15" s="5"/>
      <c r="F15" s="25"/>
    </row>
    <row r="16" spans="2:10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0"/>
  <sheetViews>
    <sheetView tabSelected="1" zoomScaleNormal="100" workbookViewId="0"/>
  </sheetViews>
  <sheetFormatPr defaultColWidth="14.44140625" defaultRowHeight="15" customHeight="1" x14ac:dyDescent="0.3"/>
  <cols>
    <col min="1" max="1" width="9" customWidth="1"/>
    <col min="2" max="2" width="27.88671875" customWidth="1"/>
    <col min="3" max="3" width="13.33203125" customWidth="1"/>
    <col min="4" max="4" width="16.88671875" customWidth="1"/>
    <col min="5" max="5" width="15.6640625" customWidth="1"/>
    <col min="6" max="6" width="9" customWidth="1"/>
    <col min="7" max="7" width="16.33203125" customWidth="1"/>
    <col min="8" max="8" width="18" customWidth="1"/>
    <col min="9" max="26" width="9" customWidth="1"/>
  </cols>
  <sheetData>
    <row r="1" spans="1:10" ht="14.4" x14ac:dyDescent="0.3">
      <c r="J1" s="20"/>
    </row>
    <row r="2" spans="1:10" ht="21" x14ac:dyDescent="0.4">
      <c r="B2" s="4" t="s">
        <v>405</v>
      </c>
    </row>
    <row r="3" spans="1:10" ht="14.4" x14ac:dyDescent="0.3"/>
    <row r="4" spans="1:10" ht="15.6" x14ac:dyDescent="0.3">
      <c r="B4" s="11" t="s">
        <v>380</v>
      </c>
      <c r="C4" s="11" t="s">
        <v>381</v>
      </c>
      <c r="D4" s="11" t="s">
        <v>136</v>
      </c>
      <c r="E4" s="11" t="s">
        <v>382</v>
      </c>
    </row>
    <row r="5" spans="1:10" ht="15.6" x14ac:dyDescent="0.3">
      <c r="A5" s="53"/>
      <c r="B5" s="7" t="s">
        <v>397</v>
      </c>
      <c r="C5" s="62">
        <v>596.6</v>
      </c>
      <c r="D5" s="7" t="s">
        <v>398</v>
      </c>
      <c r="E5" s="39">
        <f t="shared" ref="E5:E15" si="0">RANK(C5,$C$5:$C$15,0)</f>
        <v>8</v>
      </c>
      <c r="F5" s="5"/>
    </row>
    <row r="6" spans="1:10" ht="15.6" x14ac:dyDescent="0.3">
      <c r="A6" s="53"/>
      <c r="B6" s="7" t="s">
        <v>385</v>
      </c>
      <c r="C6" s="62">
        <v>678.9</v>
      </c>
      <c r="D6" s="7" t="s">
        <v>386</v>
      </c>
      <c r="E6" s="39">
        <f t="shared" si="0"/>
        <v>2</v>
      </c>
      <c r="F6" s="5"/>
    </row>
    <row r="7" spans="1:10" ht="15.6" x14ac:dyDescent="0.3">
      <c r="A7" s="53"/>
      <c r="B7" s="7" t="s">
        <v>387</v>
      </c>
      <c r="C7" s="62">
        <v>634</v>
      </c>
      <c r="D7" s="7" t="s">
        <v>388</v>
      </c>
      <c r="E7" s="39">
        <f t="shared" si="0"/>
        <v>3</v>
      </c>
      <c r="F7" s="5"/>
    </row>
    <row r="8" spans="1:10" ht="15.6" x14ac:dyDescent="0.3">
      <c r="A8" s="53"/>
      <c r="B8" s="7" t="s">
        <v>399</v>
      </c>
      <c r="C8" s="62">
        <v>555.70000000000005</v>
      </c>
      <c r="D8" s="7" t="s">
        <v>400</v>
      </c>
      <c r="E8" s="39">
        <f t="shared" si="0"/>
        <v>9</v>
      </c>
      <c r="F8" s="5"/>
    </row>
    <row r="9" spans="1:10" ht="15.6" x14ac:dyDescent="0.3">
      <c r="A9" s="53"/>
      <c r="B9" s="7" t="s">
        <v>383</v>
      </c>
      <c r="C9" s="62">
        <v>829.8</v>
      </c>
      <c r="D9" s="7" t="s">
        <v>384</v>
      </c>
      <c r="E9" s="39">
        <f t="shared" si="0"/>
        <v>1</v>
      </c>
      <c r="F9" s="5"/>
      <c r="G9" s="14"/>
    </row>
    <row r="10" spans="1:10" ht="15.6" x14ac:dyDescent="0.3">
      <c r="A10" s="53"/>
      <c r="B10" s="7" t="s">
        <v>395</v>
      </c>
      <c r="C10" s="62">
        <v>601</v>
      </c>
      <c r="D10" s="7" t="s">
        <v>396</v>
      </c>
      <c r="E10" s="39">
        <f t="shared" si="0"/>
        <v>7</v>
      </c>
      <c r="F10" s="5"/>
      <c r="G10" s="14"/>
    </row>
    <row r="11" spans="1:10" ht="15.6" x14ac:dyDescent="0.3">
      <c r="A11" s="53"/>
      <c r="B11" s="7" t="s">
        <v>403</v>
      </c>
      <c r="C11" s="62">
        <v>540</v>
      </c>
      <c r="D11" s="7" t="s">
        <v>139</v>
      </c>
      <c r="E11" s="39">
        <f t="shared" si="0"/>
        <v>11</v>
      </c>
      <c r="F11" s="5"/>
      <c r="G11" s="14"/>
    </row>
    <row r="12" spans="1:10" ht="15.6" x14ac:dyDescent="0.3">
      <c r="A12" s="53"/>
      <c r="B12" s="7" t="s">
        <v>401</v>
      </c>
      <c r="C12" s="62">
        <v>553.29999999999995</v>
      </c>
      <c r="D12" s="7" t="s">
        <v>402</v>
      </c>
      <c r="E12" s="39">
        <f t="shared" si="0"/>
        <v>10</v>
      </c>
      <c r="F12" s="5"/>
    </row>
    <row r="13" spans="1:10" ht="15.6" x14ac:dyDescent="0.3">
      <c r="A13" s="53"/>
      <c r="B13" s="7" t="s">
        <v>393</v>
      </c>
      <c r="C13" s="62">
        <v>604</v>
      </c>
      <c r="D13" s="7" t="s">
        <v>394</v>
      </c>
      <c r="E13" s="39">
        <f t="shared" si="0"/>
        <v>6</v>
      </c>
      <c r="F13" s="5"/>
    </row>
    <row r="14" spans="1:10" ht="15.6" x14ac:dyDescent="0.3">
      <c r="A14" s="53"/>
      <c r="B14" s="7" t="s">
        <v>391</v>
      </c>
      <c r="C14" s="62">
        <v>627.79999999999995</v>
      </c>
      <c r="D14" s="7" t="s">
        <v>392</v>
      </c>
      <c r="E14" s="39">
        <f t="shared" si="0"/>
        <v>5</v>
      </c>
    </row>
    <row r="15" spans="1:10" ht="15.6" x14ac:dyDescent="0.3">
      <c r="A15" s="53"/>
      <c r="B15" s="7" t="s">
        <v>389</v>
      </c>
      <c r="C15" s="62">
        <v>632</v>
      </c>
      <c r="D15" s="7" t="s">
        <v>390</v>
      </c>
      <c r="E15" s="39">
        <f t="shared" si="0"/>
        <v>4</v>
      </c>
    </row>
    <row r="16" spans="1:10" ht="14.4" x14ac:dyDescent="0.3"/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ИНДЕКС</vt:lpstr>
      <vt:lpstr>ПОИСКПОЗ</vt:lpstr>
      <vt:lpstr>РАНГ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</dc:creator>
  <cp:lastModifiedBy>Даниил</cp:lastModifiedBy>
  <dcterms:created xsi:type="dcterms:W3CDTF">2026-09-23T12:12:23Z</dcterms:created>
  <dcterms:modified xsi:type="dcterms:W3CDTF">2026-09-23T12:12:23Z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46AAA2E0FDC54F86BADB6174E33F2214_12</vt:lpwstr>
  </property>
  <property fmtid="{D5CDD505-2E9C-101B-9397-08002B2CF9AE}" pid="4" name="KSOProductBuildVer">
    <vt:lpwstr>1049-12.1.0.28485</vt:lpwstr>
  </property>
</Properties>
</file>